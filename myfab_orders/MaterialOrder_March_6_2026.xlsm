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updateLinks="never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peter/Documents/EngSci 2T8 + 1/2025 - 2026/2W/ESC204H/Codebase/myfab_orders/"/>
    </mc:Choice>
  </mc:AlternateContent>
  <xr:revisionPtr revIDLastSave="0" documentId="13_ncr:1_{D9B41662-A8CF-B74A-B537-82B7886B0626}" xr6:coauthVersionLast="47" xr6:coauthVersionMax="47" xr10:uidLastSave="{00000000-0000-0000-0000-000000000000}"/>
  <bookViews>
    <workbookView xWindow="3500" yWindow="1320" windowWidth="29040" windowHeight="17640" activeTab="4" xr2:uid="{00000000-000D-0000-FFFF-FFFF00000000}"/>
  </bookViews>
  <sheets>
    <sheet name="Hardware" sheetId="33" r:id="rId1"/>
    <sheet name="Materials" sheetId="32" r:id="rId2"/>
    <sheet name="Mechatronics" sheetId="17" r:id="rId3"/>
    <sheet name="Oldtronics-FINALSALE only" sheetId="34" r:id="rId4"/>
    <sheet name="PurchaseOrder" sheetId="30" r:id="rId5"/>
    <sheet name="Dev" sheetId="31" state="hidden" r:id="rId6"/>
  </sheets>
  <functionGroups builtInGroupCount="19"/>
  <definedNames>
    <definedName name="_categories">#REF!</definedName>
    <definedName name="_components">#REF!</definedName>
    <definedName name="_connect">#REF!</definedName>
    <definedName name="_MCU">#REF!</definedName>
    <definedName name="_modules">#REF!</definedName>
    <definedName name="_motors">#REF!</definedName>
    <definedName name="_power">#REF!</definedName>
    <definedName name="_sensors">#REF!</definedName>
    <definedName name="CATEGORY">#REF!</definedName>
    <definedName name="Comp">#REF!</definedName>
    <definedName name="COMPONENTS">#REF!</definedName>
    <definedName name="Connect">#REF!</definedName>
    <definedName name="COST">#REF!</definedName>
    <definedName name="FullName" localSheetId="0">#REF!</definedName>
    <definedName name="FullName" localSheetId="1">#REF!</definedName>
    <definedName name="FullName" localSheetId="2">#REF!</definedName>
    <definedName name="FullName" localSheetId="3">#REF!</definedName>
    <definedName name="FullName">#REF!</definedName>
    <definedName name="FullTable" localSheetId="0">#REF!</definedName>
    <definedName name="FullTable" localSheetId="1">#REF!</definedName>
    <definedName name="FullTable" localSheetId="2">#REF!</definedName>
    <definedName name="FullTable" localSheetId="3">#REF!</definedName>
    <definedName name="FullTable">#REF!</definedName>
    <definedName name="Image" localSheetId="0">#REF!</definedName>
    <definedName name="Image" localSheetId="1">#REF!</definedName>
    <definedName name="Image" localSheetId="2">#REF!</definedName>
    <definedName name="Image" localSheetId="3">#REF!</definedName>
    <definedName name="Image">#REF!</definedName>
    <definedName name="IMAGES">#REF!</definedName>
    <definedName name="Motor">#REF!</definedName>
    <definedName name="Power">#REF!</definedName>
    <definedName name="_xlnm.Print_Area" localSheetId="4">PurchaseOrder!$D$1:$K$77</definedName>
  </definedNames>
  <calcPr calcId="191028"/>
  <pivotCaches>
    <pivotCache cacheId="0" r:id="rId7"/>
    <pivotCache cacheId="1" r:id="rId8"/>
    <pivotCache cacheId="2" r:id="rId9"/>
    <pivotCache cacheId="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30" l="1"/>
  <c r="K9" i="30"/>
  <c r="K8" i="30"/>
  <c r="K7" i="30"/>
  <c r="I4" i="3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D2AC4A5-FCE9-4A1B-81E4-10828ACBAF9F}" odcFile="C:\Users\Staff\AppData\Local\Temp\query-2.iqy" keepAlive="1" name="query-MaterialsNew" type="5" refreshedVersion="8" minRefreshableVersion="3" saveData="1">
    <dbPr connection="Provider=Microsoft.Office.List.OLEDB.2.0;Data Source=&quot;&quot;;ApplicationName=Excel;Version=12.0.0.0" command="&lt;LIST&gt;&lt;VIEWGUID&gt;606793A8-71D1-43F6-97A6-DF54E04A3F8D&lt;/VIEWGUID&gt;&lt;LISTNAME&gt;{AEB7D832-2F72-4291-AAE6-855B9448C777}&lt;/LISTNAME&gt;&lt;LISTWEB&gt;https://utoronto.sharepoint.com/sites/fase-myhalfabrication/_vti_bin&lt;/LISTWEB&gt;&lt;LISTSUBWEB&gt;&lt;/LISTSUBWEB&gt;&lt;ROOTFOLDER&gt;&lt;/ROOTFOLDER&gt;&lt;/LIST&gt;" commandType="5"/>
  </connection>
  <connection id="2" xr16:uid="{364FE50C-EA05-47E5-850D-A8B51371AC11}" odcFile="C:\Users\Staff\AppData\Local\Temp\query-3.iqy" keepAlive="1" name="query-Mechatronics" type="5" refreshedVersion="8" minRefreshableVersion="3" saveData="1">
    <dbPr connection="Provider=Microsoft.Office.List.OLEDB.2.0;Data Source=&quot;&quot;;ApplicationName=Excel;Version=12.0.0.0" command="&lt;LIST&gt;&lt;VIEWGUID&gt;05E7175B-9766-4FD8-81FD-3D7C502A96C5&lt;/VIEWGUID&gt;&lt;LISTNAME&gt;{95AFCDF0-A858-4BAE-BDF5-2A4B150E6725}&lt;/LISTNAME&gt;&lt;LISTWEB&gt;https://utoronto.sharepoint.com/sites/fase-myhalfabrication/_vti_bin&lt;/LISTWEB&gt;&lt;LISTSUBWEB&gt;&lt;/LISTSUBWEB&gt;&lt;ROOTFOLDER&gt;&lt;/ROOTFOLDER&gt;&lt;/LIST&gt;" commandType="5"/>
  </connection>
  <connection id="3" xr16:uid="{D0E87A97-7F93-4B0D-87CE-C9EE308FD9C3}" odcFile="C:\Users\Staff\AppData\Local\Temp\query-3.iqy" keepAlive="1" name="query-SpecialtyHardware" type="5" refreshedVersion="7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  <connection id="4" xr16:uid="{439DFF1A-2495-412E-BFDC-414051D65475}" odcFile="C:\Users\Staff\AppData\Local\Temp\query-1.iqy" keepAlive="1" name="query-SpecialtyhardwareWorks1" type="5" refreshedVersion="8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  <connection id="5" xr16:uid="{0D2A4CC6-F1F7-4B4D-B1F7-44777394153E}" odcFile="C:\Users\Max\Downloads\Temp\query(64).iqy" keepAlive="1" name="query(64)" type="5" refreshedVersion="8" background="1">
    <dbPr connection="Provider=Microsoft.Office.List.OLEDB.2.0;Data Source=&quot;&quot;;ApplicationName=Excel;Version=12.0.0.0" command="&lt;LIST&gt;&lt;VIEWGUID&gt;43D0B6B9-5F72-45AE-A4A0-11B32DBF935B&lt;/VIEWGUID&gt;&lt;LISTNAME&gt;c5a4fede-8fab-4c19-b597-56fdf14a1806&lt;/LISTNAME&gt;&lt;LISTWEB&gt;https://utoronto.sharepoint.com/sites/fase-myhalfabrication/_vti_bin&lt;/LISTWEB&gt;&lt;LISTSUBWEB&gt;&lt;/LISTSUBWEB&gt;&lt;ROOTFOLDER&gt;&lt;/ROOTFOLDER&gt;&lt;/LIST&gt;" commandType="5"/>
  </connection>
  <connection id="6" xr16:uid="{00000000-0015-0000-FFFF-FFFF02000000}" odcFile="C:\Users\Lorena\Downloads\queryCourseKit.iqy" keepAlive="1" name="queryCourseKit" type="5" refreshedVersion="6" minRefreshableVersion="3" saveData="1">
    <dbPr connection="Provider=Microsoft.Office.List.OLEDB.2.0;Data Source=&quot;&quot;;ApplicationName=Excel;Version=12.0.0.0" command="&lt;LIST&gt;&lt;VIEWGUID&gt;47162AD7-B24C-4887-99CF-8B061B4B6204&lt;/VIEWGUID&gt;&lt;LISTNAME&gt;{4EA97AD9-13A0-4D44-9878-BC743412BF1D}&lt;/LISTNAME&gt;&lt;LISTWEB&gt;https://utoronto.sharepoint.com/sites/fase-myhalfabrication/_vti_bin&lt;/LISTWEB&gt;&lt;LISTSUBWEB&gt;&lt;/LISTSUBWEB&gt;&lt;ROOTFOLDER&gt;&lt;/ROOTFOLDER&gt;&lt;/LIST&gt;" commandType="5"/>
  </connection>
  <connection id="7" xr16:uid="{A78EC274-E1AB-441D-A0A4-D75AF0CBDA50}" odcFile="C:\Users\Staff\AppData\Local\Temp\query.iqy" keepAlive="1" name="queryElectronicsWorks1" type="5" refreshedVersion="6" minRefreshableVersion="3" saveData="1">
    <dbPr connection="Provider=Microsoft.Office.List.OLEDB.2.0;Data Source=&quot;&quot;;ApplicationName=Excel;Version=12.0.0.0" command="&lt;LIST&gt;&lt;VIEWGUID&gt;63D050C7-CD69-4C30-B79C-8E602F41BCEF&lt;/VIEWGUID&gt;&lt;LISTNAME&gt;{95AFCDF0-A858-4BAE-BDF5-2A4B150E6725}&lt;/LISTNAME&gt;&lt;LISTWEB&gt;https://utoronto.sharepoint.com/sites/fase-myhalfabrication/_vti_bin&lt;/LISTWEB&gt;&lt;LISTSUBWEB&gt;&lt;/LISTSUBWEB&gt;&lt;ROOTFOLDER&gt;&lt;/ROOTFOLDER&gt;&lt;/LIST&gt;" commandType="5"/>
  </connection>
  <connection id="8" xr16:uid="{00000000-0015-0000-FFFF-FFFF04000000}" odcFile="C:\Users\Lorena\Downloads\querySpecialtyHardware.iqy" keepAlive="1" name="querySpecialtyHardware" type="5" refreshedVersion="6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</connections>
</file>

<file path=xl/sharedStrings.xml><?xml version="1.0" encoding="utf-8"?>
<sst xmlns="http://schemas.openxmlformats.org/spreadsheetml/2006/main" count="1984" uniqueCount="1053">
  <si>
    <t>Mechatronics List</t>
  </si>
  <si>
    <t>Materials List</t>
  </si>
  <si>
    <t>Hardware List</t>
  </si>
  <si>
    <t>Filename</t>
  </si>
  <si>
    <t>Category</t>
  </si>
  <si>
    <t>Spec sheet</t>
  </si>
  <si>
    <t>RentalCost</t>
  </si>
  <si>
    <t>Rental</t>
  </si>
  <si>
    <t>OutOfStock</t>
  </si>
  <si>
    <t>UnitSize</t>
  </si>
  <si>
    <t>Cost</t>
  </si>
  <si>
    <t>OutOfStock2</t>
  </si>
  <si>
    <t>Specs</t>
  </si>
  <si>
    <t>Connect</t>
  </si>
  <si>
    <t>Final Sale</t>
  </si>
  <si>
    <t>(blank)</t>
  </si>
  <si>
    <t>18"x24"</t>
  </si>
  <si>
    <t>Out of Stock</t>
  </si>
  <si>
    <t>Power</t>
  </si>
  <si>
    <t>-</t>
  </si>
  <si>
    <t>Sensor</t>
  </si>
  <si>
    <t>MCU</t>
  </si>
  <si>
    <t>Component</t>
  </si>
  <si>
    <t>12"x12"</t>
  </si>
  <si>
    <t>JST 3 pin</t>
  </si>
  <si>
    <t>Timing belt pulley T2</t>
  </si>
  <si>
    <t xml:space="preserve">MYFab Purchase order form </t>
  </si>
  <si>
    <t>UtorID</t>
  </si>
  <si>
    <t>Total (CAD)</t>
  </si>
  <si>
    <t>Description</t>
  </si>
  <si>
    <t>Quantity</t>
  </si>
  <si>
    <t>Unit $</t>
  </si>
  <si>
    <t>Terms</t>
  </si>
  <si>
    <t>Subtotal</t>
  </si>
  <si>
    <t>ID</t>
  </si>
  <si>
    <t>IDSpecialtyHardware</t>
  </si>
  <si>
    <t>IDMECHATRONICS</t>
  </si>
  <si>
    <t>Pot 10K Rotary Potentiometer</t>
  </si>
  <si>
    <t>IDMaterials</t>
  </si>
  <si>
    <t>29 MATERIALS</t>
  </si>
  <si>
    <t>51 MATERIALS</t>
  </si>
  <si>
    <t>46 MATERIALS</t>
  </si>
  <si>
    <t>3 MATERIALS</t>
  </si>
  <si>
    <t>28 MATERIALS</t>
  </si>
  <si>
    <t>Rotary Encoder</t>
  </si>
  <si>
    <t>142 MATERIALS</t>
  </si>
  <si>
    <t>12v 6A power supply</t>
  </si>
  <si>
    <t>360 potentiometer</t>
  </si>
  <si>
    <t>3d printer guide rail set</t>
  </si>
  <si>
    <t>6V DC 250 RPM</t>
  </si>
  <si>
    <t>7.2V Turnigy NiMh Battery pack</t>
  </si>
  <si>
    <t>9v Battery</t>
  </si>
  <si>
    <t>9V connector</t>
  </si>
  <si>
    <t>AA  case - 4 slots</t>
  </si>
  <si>
    <t>AA case - 5 slots</t>
  </si>
  <si>
    <t>AA case - 6 slots</t>
  </si>
  <si>
    <t>Alligator Clip</t>
  </si>
  <si>
    <t xml:space="preserve">Arduino MEGA 2560 </t>
  </si>
  <si>
    <t>Arduino Nano</t>
  </si>
  <si>
    <t>Arduino UNO</t>
  </si>
  <si>
    <t>Ball Caster</t>
  </si>
  <si>
    <t>Ball caster N20</t>
  </si>
  <si>
    <t>Barrel plug F 5.5</t>
  </si>
  <si>
    <t>Barrel plug M 5.5</t>
  </si>
  <si>
    <t>Bluetooth HC05</t>
  </si>
  <si>
    <t>Bluetooth HC06</t>
  </si>
  <si>
    <t>Breadboard power supply module</t>
  </si>
  <si>
    <t>Breadboard Small</t>
  </si>
  <si>
    <t>Capacitor (SPECIFY uf)</t>
  </si>
  <si>
    <t>CH340C</t>
  </si>
  <si>
    <t>Color</t>
  </si>
  <si>
    <t>Compass Magnetometer</t>
  </si>
  <si>
    <t>CR2032 coin battery</t>
  </si>
  <si>
    <t>DC 6V motor w wheel</t>
  </si>
  <si>
    <t>DC Mount Bracket</t>
  </si>
  <si>
    <t>DC Wheel Coupler</t>
  </si>
  <si>
    <t>DCDC 20A 5-40v to 1.2-36v</t>
  </si>
  <si>
    <t>DCDC 2A 2-24v to 28v</t>
  </si>
  <si>
    <t>DCDC 3.5A 4.5-27V to 6V</t>
  </si>
  <si>
    <t>DCDC 3A, 3.2-35V to 1.25-35V</t>
  </si>
  <si>
    <t>DCDC 5A 3-35v to 5-45v</t>
  </si>
  <si>
    <t>DCDC 5A, variable</t>
  </si>
  <si>
    <t>Diode</t>
  </si>
  <si>
    <t>Drive wheel</t>
  </si>
  <si>
    <t>Dual Motor driver L298N</t>
  </si>
  <si>
    <t>Electrical tape</t>
  </si>
  <si>
    <t>Geared wheel</t>
  </si>
  <si>
    <t xml:space="preserve">Gyro 3 axis GY521 </t>
  </si>
  <si>
    <t>Heat Sink for stepper motor driver A4988</t>
  </si>
  <si>
    <t>hub 3mm</t>
  </si>
  <si>
    <t>IR Distance</t>
  </si>
  <si>
    <t xml:space="preserve">Joystick Cap </t>
  </si>
  <si>
    <t xml:space="preserve">Joystick Potentiometer </t>
  </si>
  <si>
    <t>JST 4 pin</t>
  </si>
  <si>
    <t>JST 5 pin</t>
  </si>
  <si>
    <t>Jumper 4 Pin F-M</t>
  </si>
  <si>
    <t>Jumper FF</t>
  </si>
  <si>
    <t>Jumper FF 20 cm</t>
  </si>
  <si>
    <t>Jumper FM</t>
  </si>
  <si>
    <t>Jumper MM</t>
  </si>
  <si>
    <t>Lead Screw +nut</t>
  </si>
  <si>
    <t>Lead Screw Stepper Coupler</t>
  </si>
  <si>
    <t>LED Green</t>
  </si>
  <si>
    <t>LED Red</t>
  </si>
  <si>
    <t>Line track TCRT5000</t>
  </si>
  <si>
    <t>long header 4 pins</t>
  </si>
  <si>
    <t>long header 6 pins</t>
  </si>
  <si>
    <t xml:space="preserve">Micro MetalGear N20 </t>
  </si>
  <si>
    <t>Micro SD reader</t>
  </si>
  <si>
    <t>Micro USB jack F</t>
  </si>
  <si>
    <t xml:space="preserve">Optical Slot </t>
  </si>
  <si>
    <t>Piezo Ceramic Element</t>
  </si>
  <si>
    <t>Potentiometer (SPECIFY TYPE)</t>
  </si>
  <si>
    <t>Protoboard (SPECIFY SIZE)</t>
  </si>
  <si>
    <t>Resistor (SPECIFY RESISTANCE)</t>
  </si>
  <si>
    <t xml:space="preserve">RGB color sensor dev board </t>
  </si>
  <si>
    <t>Servo MG995</t>
  </si>
  <si>
    <t>Servo SG90</t>
  </si>
  <si>
    <t>Speaker amp</t>
  </si>
  <si>
    <t>Standoff - 50mm M3 M-F</t>
  </si>
  <si>
    <t>Standoff 10mm M3</t>
  </si>
  <si>
    <t>Standoff 20mm M3</t>
  </si>
  <si>
    <t>Standoff 25mm M3</t>
  </si>
  <si>
    <t>Stepper Driver A4988</t>
  </si>
  <si>
    <t>Stepper Driver DRV8825</t>
  </si>
  <si>
    <t>Stepper Nema 17 2A</t>
  </si>
  <si>
    <t>Stepper Nema 17, 1.7A</t>
  </si>
  <si>
    <t>Stranded Wire 1m</t>
  </si>
  <si>
    <t>Syringe</t>
  </si>
  <si>
    <t>Tamiya - wired</t>
  </si>
  <si>
    <t xml:space="preserve">Tamiya set </t>
  </si>
  <si>
    <t>Timing belt T2</t>
  </si>
  <si>
    <t>Toggle switch Dual Pole</t>
  </si>
  <si>
    <t xml:space="preserve">Toggle Switch Single Pole </t>
  </si>
  <si>
    <t>Transistor</t>
  </si>
  <si>
    <t xml:space="preserve">Ultrasonic sensor HCSR04 </t>
  </si>
  <si>
    <t>Uno R3 motor driver shield</t>
  </si>
  <si>
    <t>UNO R3 protoshield</t>
  </si>
  <si>
    <t>USB A to B</t>
  </si>
  <si>
    <t>USB Programming Cable</t>
  </si>
  <si>
    <t>Vertical Bearing Bracket KFL08</t>
  </si>
  <si>
    <t>VGA Cameras</t>
  </si>
  <si>
    <t>Voltage Regulator 3.3V</t>
  </si>
  <si>
    <t>Voltage Regulator 5V</t>
  </si>
  <si>
    <t>Wheel DC</t>
  </si>
  <si>
    <t>WIFI ESP8266</t>
  </si>
  <si>
    <t>Comp</t>
  </si>
  <si>
    <t>Motor</t>
  </si>
  <si>
    <t>Module</t>
  </si>
  <si>
    <t>https://utoronto.sharepoint.com/:b:/r/sites/fase-myhalfabrication/MechDataSheets/DS_RP19_20_precision_potentiometer.pdf?csf=1&amp;web=1&amp;e=YhaBUu
Datasheet</t>
  </si>
  <si>
    <t>https://utoronto.sharepoint.com/:i:/r/sites/fase-myhalfabrication/MechDataSheets/guide%20rail%20set_component%20list.PNG?csf=1&amp;web=1&amp;e=vNcUah
Datasheet</t>
  </si>
  <si>
    <t>https://utoronto.sharepoint.com/:b:/r/sites/fase-myhalfabrication/MechDataSheets/28819-6-15V-Gear-Motor-with-Encoder.pdf?csf=1&amp;web=1&amp;e=7ceayq
Datasheet</t>
  </si>
  <si>
    <t>https://utoronto.sharepoint.com/:b:/r/sites/fase-myhalfabrication/MechDataSheets/arduinomega2560.pdf?csf=1&amp;web=1&amp;e=r6vFbQ
Datasheet</t>
  </si>
  <si>
    <t>https://utoronto.sharepoint.com/:b:/r/sites/fase-myhalfabrication/MechDataSheets/ArduinoNano.pdf?csf=1&amp;web=1&amp;e=x2xxF0
Datasheet</t>
  </si>
  <si>
    <t>https://utoronto.sharepoint.com/:b:/r/sites/fase-myhalfabrication/MechDataSheets/arduino%20uno.pdf?csf=1&amp;web=1&amp;e=aGwuFv
Datasheet</t>
  </si>
  <si>
    <t>https://utoronto.sharepoint.com/:b:/r/sites/fase-myhalfabrication/MechDataSheets/hc05_bluetooth.pdf?csf=1&amp;web=1&amp;e=nzXcG3
Datasheet</t>
  </si>
  <si>
    <t>https://utoronto.sharepoint.com/:b:/r/sites/fase-myhalfabrication/MechDataSheets/hc06_bluetooth.pdf?csf=1&amp;web=1&amp;e=bCtlCw
Datasheet</t>
  </si>
  <si>
    <t>https://utoronto.sharepoint.com/:b:/r/sites/fase-myhalfabrication/MechDataSheets/mb102-ps_breadboard%20power%20supply%20module.pdf?csf=1&amp;web=1&amp;e=5M9JBy
Datasheet</t>
  </si>
  <si>
    <t>https://utoronto.sharepoint.com/:b:/r/sites/fase-myhalfabrication/MechDataSheets/CH340-USB%20bus%20converter%20chip.pdf?csf=1&amp;web=1&amp;e=5dZhpU
Datasheet</t>
  </si>
  <si>
    <t>https://utoronto.sharepoint.com/:b:/r/sites/fase-myhalfabrication/MechDataSheets/DC-DC%2020A_stepdown_regulator.pdf?csf=1&amp;web=1&amp;e=w0UjlW
Datasheet</t>
  </si>
  <si>
    <t>https://utoronto.sharepoint.com/:b:/r/sites/fase-myhalfabrication/MechDataSheets/DC-DC%202A_stepdown%26encoder.pdf?csf=1&amp;web=1&amp;e=DUDJPj
Datasheet</t>
  </si>
  <si>
    <t>https://utoronto.sharepoint.com/:i:/r/sites/fase-myhalfabrication/MechDataSheets/DC-DC%203-35V%20to%205V-45V.PNG?csf=1&amp;web=1&amp;e=mpoo7u
Datasheet</t>
  </si>
  <si>
    <t>https://utoronto.sharepoint.com/:b:/r/sites/fase-myhalfabrication/MechDataSheets/L298N%20Motor%20Driver.pdf?csf=1&amp;web=1&amp;e=EXExv2
Datasheet</t>
  </si>
  <si>
    <t>https://www.farnell.com/datasheets/17573.pdf?_ga=2.177128998.220814189.1648762235-1840094406.1646428942&amp;_gac=1.40701590.1648762235.EAIaIQobChMI26H796Xx9gIVGrbICh3RYw7EEAAYASAAEgLS-_D_BwE
https://www.farnell.com/datasheets/17573.pdf?_ga=2.177128998.220814189.1648762235-1840094406.1646428942&amp;_gac=1.40701590.1648762235.EAIaIQobChMI26H796Xx9gIVGrbICh3RYw7EEAAYASAAEgLS-_D_BwE</t>
  </si>
  <si>
    <t>https://utoronto.sharepoint.com/:b:/r/sites/fase-myhalfabrication/MechDataSheets/DS_RP19_20_precision_potentiometer.pdf?csf=1&amp;web=1&amp;e=RCp9GG
Datasheet</t>
  </si>
  <si>
    <t>https://utoronto.sharepoint.com/:b:/r/sites/fase-myhalfabrication/MechDataSheets/velleman-tcrt5000--line-tracking-sensor.pdf?csf=1&amp;web=1&amp;e=4MQRkZ
Datasheet</t>
  </si>
  <si>
    <t>https://utoronto.sharepoint.com/:b:/r/sites/fase-myhalfabrication/MechDataSheets/GA12-N20_geared%20mini%20dc%20motor.pdf?csf=1&amp;web=1&amp;e=4MgSGI
Datasheet</t>
  </si>
  <si>
    <t>https://utoronto.sharepoint.com/:b:/r/sites/fase-myhalfabrication/MechDataSheets/micro%20usb%20jack%20F.pdf?csf=1&amp;web=1&amp;e=Me4Wlc
Datasheet</t>
  </si>
  <si>
    <t>https://utoronto.sharepoint.com/:b:/r/sites/fase-myhalfabrication/MechDataSheets/TCS3472_RGB.pdf?csf=1&amp;web=1&amp;e=M6hh5V
Datasheet</t>
  </si>
  <si>
    <t>https://utoronto.sharepoint.com/:b:/r/sites/fase-myhalfabrication/MechDataSheets/MG995_ballbearing%20servo.pdf?csf=1&amp;web=1&amp;e=pTJaPv
Datasheet</t>
  </si>
  <si>
    <t>https://utoronto.sharepoint.com/:b:/r/sites/fase-myhalfabrication/MechDataSheets/sg90_servo%20motor.pdf?csf=1&amp;web=1&amp;e=ymgbpd
Datasheet</t>
  </si>
  <si>
    <t>https://utoronto.sharepoint.com/:b:/r/sites/fase-myhalfabrication/MechDataSheets/A4988-Microstepping%20Driver%20with%20Translator.pdf?csf=1&amp;web=1&amp;e=IKafxd
Datasheets</t>
  </si>
  <si>
    <t>https://utoronto.sharepoint.com/:b:/r/sites/fase-myhalfabrication/MechDataSheets/drv8825_stepper%20motor%20control%20IC.pdf?csf=1&amp;web=1&amp;e=Feqes5
Datasheet</t>
  </si>
  <si>
    <t>https://utoronto.sharepoint.com/:b:/r/sites/fase-myhalfabrication/MechDataSheets/nema17_stepper%20motor.pdf?csf=1&amp;web=1&amp;e=G68Mgs
Datasheet</t>
  </si>
  <si>
    <t>https://utoronto.sharepoint.com/:b:/r/sites/fase-myhalfabrication/FFOffice/Shared%20Documents/MechDataSheets/nema17_stepper%20motor.pdf?csf=1&amp;web=1&amp;e=koGd2I
Datasheet</t>
  </si>
  <si>
    <t>https://utoronto.sharepoint.com/:b:/r/sites/fase-myhalfabrication/MechDataSheets/HCSR04_ultrasonic%20sensor.pdf?csf=1&amp;web=1&amp;e=hlEqWZ
Datasheet</t>
  </si>
  <si>
    <t>https://utoronto.sharepoint.com/:b:/r/sites/fase-myhalfabrication/MechDataSheets/adafruit-motor-shield.pdf?csf=1&amp;web=1&amp;e=0rp6wx
Datasheet</t>
  </si>
  <si>
    <t>https://utoronto.sharepoint.com/:b:/r/sites/fase-myhalfabrication/MechDataSheets/arduino%20uno.pdf?csf=1&amp;web=1&amp;e=57P5Rw
Datasheet</t>
  </si>
  <si>
    <t>https://utoronto.sharepoint.com/:b:/r/sites/fase-myhalfabrication/MechDataSheets/esp8266ex_wifi.pdf?csf=1&amp;web=1&amp;e=V5hwj3
Datasheet</t>
  </si>
  <si>
    <t>Spec Sheet</t>
  </si>
  <si>
    <t>Oldtronics List</t>
  </si>
  <si>
    <t>OldTronics</t>
  </si>
  <si>
    <t>10 OLDTRONICS</t>
  </si>
  <si>
    <t>135 OLDTRONICS</t>
  </si>
  <si>
    <t>18 OLDTRONICS</t>
  </si>
  <si>
    <t>144 OLDTRONICS</t>
  </si>
  <si>
    <t>14 OLDTRONICS</t>
  </si>
  <si>
    <t>15 OLDTRONICS</t>
  </si>
  <si>
    <t>149 OLDTRONICS</t>
  </si>
  <si>
    <t>148 OLDTRONICS</t>
  </si>
  <si>
    <t>154 OLDTRONICS</t>
  </si>
  <si>
    <t>156 OLDTRONICS</t>
  </si>
  <si>
    <t>157 OLDTRONICS</t>
  </si>
  <si>
    <t>32 OLDTRONICS</t>
  </si>
  <si>
    <t>167 OLDTRONICS</t>
  </si>
  <si>
    <t>168 OLDTRONICS</t>
  </si>
  <si>
    <t>36 OLDTRONICS</t>
  </si>
  <si>
    <t>21 OLDTRONICS</t>
  </si>
  <si>
    <t>22 OLDTRONICS</t>
  </si>
  <si>
    <t>177 OLDTRONICS</t>
  </si>
  <si>
    <t>49 OLDTRONICS</t>
  </si>
  <si>
    <t>141 OLDTRONICS</t>
  </si>
  <si>
    <t>142 OLDTRONICS</t>
  </si>
  <si>
    <t>143 OLDTRONICS</t>
  </si>
  <si>
    <t>33 OLDTRONICS</t>
  </si>
  <si>
    <t>50 OLDTRONICS</t>
  </si>
  <si>
    <t>140 OLDTRONICS</t>
  </si>
  <si>
    <t>16 OLDTRONICS</t>
  </si>
  <si>
    <t>51 OLDTRONICS</t>
  </si>
  <si>
    <t>179 OLDTRONICS</t>
  </si>
  <si>
    <t>180 OLDTRONICS</t>
  </si>
  <si>
    <t>25 OLDTRONICS</t>
  </si>
  <si>
    <t>155 OLDTRONICS</t>
  </si>
  <si>
    <t>132 OLDTRONICS</t>
  </si>
  <si>
    <t>137 OLDTRONICS</t>
  </si>
  <si>
    <t>136 OLDTRONICS</t>
  </si>
  <si>
    <t>165 OLDTRONICS</t>
  </si>
  <si>
    <t>134 OLDTRONICS</t>
  </si>
  <si>
    <t>4 OLDTRONICS</t>
  </si>
  <si>
    <t>1 OLDTRONICS</t>
  </si>
  <si>
    <t>133 OLDTRONICS</t>
  </si>
  <si>
    <t>42 OLDTRONICS</t>
  </si>
  <si>
    <t>41 OLDTRONICS</t>
  </si>
  <si>
    <t>152 OLDTRONICS</t>
  </si>
  <si>
    <t>150 OLDTRONICS</t>
  </si>
  <si>
    <t>47 OLDTRONICS</t>
  </si>
  <si>
    <t>9 OLDTRONICS</t>
  </si>
  <si>
    <t>160 OLDTRONICS</t>
  </si>
  <si>
    <t>174 OLDTRONICS</t>
  </si>
  <si>
    <t>181 OLDTRONICS</t>
  </si>
  <si>
    <t>139 OLDTRONICS</t>
  </si>
  <si>
    <t>170 OLDTRONICS</t>
  </si>
  <si>
    <t>30 OLDTRONICS</t>
  </si>
  <si>
    <t>48 OLDTRONICS</t>
  </si>
  <si>
    <t>171 OLDTRONICS</t>
  </si>
  <si>
    <t>173 OLDTRONICS</t>
  </si>
  <si>
    <t>145 OLDTRONICS</t>
  </si>
  <si>
    <t>146 OLDTRONICS</t>
  </si>
  <si>
    <t>2 OLDTRONICS</t>
  </si>
  <si>
    <t>20 OLDTRONICS</t>
  </si>
  <si>
    <t>153 OLDTRONICS</t>
  </si>
  <si>
    <t>147 OLDTRONICS</t>
  </si>
  <si>
    <t>138 OLDTRONICS</t>
  </si>
  <si>
    <t>29 OLDTRONICS</t>
  </si>
  <si>
    <t>45 OLDTRONICS</t>
  </si>
  <si>
    <t>23 OLDTRONICS</t>
  </si>
  <si>
    <t>164 OLDTRONICS</t>
  </si>
  <si>
    <t>183 OLDTRONICS</t>
  </si>
  <si>
    <t>46 OLDTRONICS</t>
  </si>
  <si>
    <t>12 OLDTRONICS</t>
  </si>
  <si>
    <t>166 OLDTRONICS</t>
  </si>
  <si>
    <t>178 OLDTRONICS</t>
  </si>
  <si>
    <t>172 OLDTRONICS</t>
  </si>
  <si>
    <t>40 OLDTRONICS</t>
  </si>
  <si>
    <t>182 OLDTRONICS</t>
  </si>
  <si>
    <t>52 OLDTRONICS</t>
  </si>
  <si>
    <t>53 OLDTRONICS</t>
  </si>
  <si>
    <t>37 OLDTRONICS</t>
  </si>
  <si>
    <t>38 OLDTRONICS</t>
  </si>
  <si>
    <t>39 OLDTRONICS</t>
  </si>
  <si>
    <t>151 OLDTRONICS</t>
  </si>
  <si>
    <t>54 OLDTRONICS</t>
  </si>
  <si>
    <t>13 OLDTRONICS</t>
  </si>
  <si>
    <t>34 OLDTRONICS</t>
  </si>
  <si>
    <t>5 OLDTRONICS</t>
  </si>
  <si>
    <t>43 OLDTRONICS</t>
  </si>
  <si>
    <t>44 OLDTRONICS</t>
  </si>
  <si>
    <t>11 OLDTRONICS</t>
  </si>
  <si>
    <t>169 OLDTRONICS</t>
  </si>
  <si>
    <t>159 OLDTRONICS</t>
  </si>
  <si>
    <t>31 OLDTRONICS</t>
  </si>
  <si>
    <t>24 OLDTRONICS</t>
  </si>
  <si>
    <t>28 OLDTRONICS</t>
  </si>
  <si>
    <t>17 OLDTRONICS</t>
  </si>
  <si>
    <t>158 OLDTRONICS</t>
  </si>
  <si>
    <t>27 OLDTRONICS</t>
  </si>
  <si>
    <t>6 OLDTRONICS</t>
  </si>
  <si>
    <t>19 OLDTRONICS</t>
  </si>
  <si>
    <t>8 OLDTRONICS</t>
  </si>
  <si>
    <t>186 OLDTRONICS</t>
  </si>
  <si>
    <t>185 OLDTRONICS</t>
  </si>
  <si>
    <t>35 OLDTRONICS</t>
  </si>
  <si>
    <t>161 OLDTRONICS</t>
  </si>
  <si>
    <t>163 OLDTRONICS</t>
  </si>
  <si>
    <t>162 OLDTRONICS</t>
  </si>
  <si>
    <t>184 OLDTRONICS</t>
  </si>
  <si>
    <t>Subcategory</t>
  </si>
  <si>
    <t>Low Stock</t>
  </si>
  <si>
    <t>Purchased orders that do not meet the specified format will be rejected</t>
  </si>
  <si>
    <t>Complete manually ONLY the fields in RED</t>
  </si>
  <si>
    <t>Crossed items are out of stock</t>
  </si>
  <si>
    <t>Plywood</t>
  </si>
  <si>
    <t>Plywood Birch 1/8" - Laser</t>
  </si>
  <si>
    <t>Plywood 3/4" - Small</t>
  </si>
  <si>
    <t>Plywood 1/2" - Small</t>
  </si>
  <si>
    <t>Plywood 1/4" - Small</t>
  </si>
  <si>
    <t>Plywood Birch 1/32"</t>
  </si>
  <si>
    <t>Plywood Birch 1/8" - Small</t>
  </si>
  <si>
    <t>Plywood 3/4" - Medium</t>
  </si>
  <si>
    <t>12"x24"</t>
  </si>
  <si>
    <t>Plywood 3/4" - Large</t>
  </si>
  <si>
    <t>24"x24"</t>
  </si>
  <si>
    <t>Plywood 1/2" - Medium</t>
  </si>
  <si>
    <t>Plywood 1/2" - Large</t>
  </si>
  <si>
    <t>Plywood Birch 1/8" - Large</t>
  </si>
  <si>
    <t>Plywood 1/4" - Medium</t>
  </si>
  <si>
    <t>Plywood 1/4" - Large</t>
  </si>
  <si>
    <t>185 MATERIALS</t>
  </si>
  <si>
    <t>186 MATERIALS</t>
  </si>
  <si>
    <t>188 MATERIALS</t>
  </si>
  <si>
    <t>189 MATERIALS</t>
  </si>
  <si>
    <t>190 MATERIALS</t>
  </si>
  <si>
    <t>191 MATERIALS</t>
  </si>
  <si>
    <t>192 MATERIALS</t>
  </si>
  <si>
    <t>193 MATERIALS</t>
  </si>
  <si>
    <t xml:space="preserve">3D Printing </t>
  </si>
  <si>
    <t>Formlabs Durable Resin</t>
  </si>
  <si>
    <t>mL</t>
  </si>
  <si>
    <t>149 MATERIALS</t>
  </si>
  <si>
    <t>Formlabs Elastic Resin</t>
  </si>
  <si>
    <t>150 MATERIALS</t>
  </si>
  <si>
    <t>Formlabs Standard Resin Black</t>
  </si>
  <si>
    <t>148 MATERIALS</t>
  </si>
  <si>
    <t>ONYX Filament</t>
  </si>
  <si>
    <t>gram</t>
  </si>
  <si>
    <t>151 MATERIALS</t>
  </si>
  <si>
    <t>PETG 1.75 mm</t>
  </si>
  <si>
    <t>147 MATERIALS</t>
  </si>
  <si>
    <t xml:space="preserve">PLA+ 1.75 mm </t>
  </si>
  <si>
    <t>145 MATERIALS</t>
  </si>
  <si>
    <t>TPU 95A 1.75 mm</t>
  </si>
  <si>
    <t>146 MATERIALS</t>
  </si>
  <si>
    <t>Acrylic</t>
  </si>
  <si>
    <t>Acrylic Black 1/4"</t>
  </si>
  <si>
    <t>14 MATERIALS</t>
  </si>
  <si>
    <t>Acrylic Black 1/8"</t>
  </si>
  <si>
    <t>13 MATERIALS</t>
  </si>
  <si>
    <t>Acrylic Clear 1/16"</t>
  </si>
  <si>
    <t>18 MATERIALS</t>
  </si>
  <si>
    <t>Acrylic Clear 1/4"</t>
  </si>
  <si>
    <t>20 MATERIALS</t>
  </si>
  <si>
    <t>Acrylic Clear 1/8"</t>
  </si>
  <si>
    <t>19 MATERIALS</t>
  </si>
  <si>
    <t>Acrylic Colored 1/8"</t>
  </si>
  <si>
    <t>87 MATERIALS</t>
  </si>
  <si>
    <t>Acrylic Frost 1/16"</t>
  </si>
  <si>
    <t>21 MATERIALS</t>
  </si>
  <si>
    <t>Acrylic Frost 1/4"</t>
  </si>
  <si>
    <t>23 MATERIALS</t>
  </si>
  <si>
    <t>Acrylic Frost 1/8"</t>
  </si>
  <si>
    <t>22 MATERIALS</t>
  </si>
  <si>
    <t>Acrylic White 1/4"</t>
  </si>
  <si>
    <t>17 MATERIALS</t>
  </si>
  <si>
    <t>Acrylic White 1/8"</t>
  </si>
  <si>
    <t>16 MATERIALS</t>
  </si>
  <si>
    <t>Aluminium Extrusion</t>
  </si>
  <si>
    <t>25 S 0 Degree Dynamic Pivot Assembly with Dual Straight Arms</t>
  </si>
  <si>
    <t>1 unit</t>
  </si>
  <si>
    <t>164 MATERIALS</t>
  </si>
  <si>
    <t>25 S 4 HOLE INSIDE GUSSET CORNER BRACKET</t>
  </si>
  <si>
    <t>155 MATERIALS</t>
  </si>
  <si>
    <t>25 S 4 WIDE HOLE INSIDE GUSSET CORNER BRACKET</t>
  </si>
  <si>
    <t>157 MATERIALS</t>
  </si>
  <si>
    <t>25 S 4MM 2 HOLE INSIDE GUSSET CORNER BRACKET</t>
  </si>
  <si>
    <t>156 MATERIALS</t>
  </si>
  <si>
    <t>25 S BLACK UNIBEARING PAD</t>
  </si>
  <si>
    <t>160 MATERIALS</t>
  </si>
  <si>
    <t>25 S M5 x 0.8 T-NUT</t>
  </si>
  <si>
    <t>163 MATERIALS</t>
  </si>
  <si>
    <t>25 S SINGLE SHT UNIBEARING</t>
  </si>
  <si>
    <t>159 MATERIALS</t>
  </si>
  <si>
    <t>25 Series 0 DEGREE LIVING NUB</t>
  </si>
  <si>
    <t>161 MATERIALS</t>
  </si>
  <si>
    <t>2525 T-Slotted Aluminium Extrusion</t>
  </si>
  <si>
    <t>20 cm</t>
  </si>
  <si>
    <t>140 MATERIALS</t>
  </si>
  <si>
    <t>2550 T-Slotted Aluminium Extrusion</t>
  </si>
  <si>
    <t>141 MATERIALS</t>
  </si>
  <si>
    <t>Ridged drop-in T-Nut M4 6mm slot</t>
  </si>
  <si>
    <t>158 MATERIALS</t>
  </si>
  <si>
    <t>STANDARD HINGE TAB 6 NYLON BLACK</t>
  </si>
  <si>
    <t>162 MATERIALS</t>
  </si>
  <si>
    <t>Balsa Block</t>
  </si>
  <si>
    <t>Balsa block 1"x1"</t>
  </si>
  <si>
    <t>12"</t>
  </si>
  <si>
    <t>66 MATERIALS</t>
  </si>
  <si>
    <t>Balsa block 2"x2"</t>
  </si>
  <si>
    <t>67 MATERIALS</t>
  </si>
  <si>
    <t>Balsa block 3"x3"</t>
  </si>
  <si>
    <t>68 MATERIALS</t>
  </si>
  <si>
    <t>Balsa sheet</t>
  </si>
  <si>
    <t>Balsa sheet 1/16"x3"x12"</t>
  </si>
  <si>
    <t>3"x12"</t>
  </si>
  <si>
    <t>101 MATERIALS</t>
  </si>
  <si>
    <t>Balsa sheet 1/16"x6"x12"</t>
  </si>
  <si>
    <t>6"x12"</t>
  </si>
  <si>
    <t>100 MATERIALS</t>
  </si>
  <si>
    <t>Balsa sheet 1/32"x3"x12"</t>
  </si>
  <si>
    <t>62 MATERIALS</t>
  </si>
  <si>
    <t>Balsa sheet 1/32"x6"x12"</t>
  </si>
  <si>
    <t>59 MATERIALS</t>
  </si>
  <si>
    <t>Balsa sheet 1/8"x3"x12"</t>
  </si>
  <si>
    <t>63 MATERIALS</t>
  </si>
  <si>
    <t>Balsa sheet 1/8"x6"x12"</t>
  </si>
  <si>
    <t>60 MATERIALS</t>
  </si>
  <si>
    <t>Board</t>
  </si>
  <si>
    <t>Maple board 1"</t>
  </si>
  <si>
    <t>104 MATERIALS</t>
  </si>
  <si>
    <t>Mat Board CIV102</t>
  </si>
  <si>
    <t>88 MATERIALS</t>
  </si>
  <si>
    <t>Particleboard 1/2"</t>
  </si>
  <si>
    <t>86 MATERIALS</t>
  </si>
  <si>
    <t>Particleboard 3/8"</t>
  </si>
  <si>
    <t>85 MATERIALS</t>
  </si>
  <si>
    <t>Pine board 12"</t>
  </si>
  <si>
    <t>103 MATERIALS</t>
  </si>
  <si>
    <t>Cardboard</t>
  </si>
  <si>
    <t>Cardboard 3/16"</t>
  </si>
  <si>
    <t>30"x40"</t>
  </si>
  <si>
    <t>54 MATERIALS</t>
  </si>
  <si>
    <t>Cardboard 5/32"</t>
  </si>
  <si>
    <t>34 MATERIALS</t>
  </si>
  <si>
    <t>Cardboard Double Wall 1/4"</t>
  </si>
  <si>
    <t>24"x48"</t>
  </si>
  <si>
    <t>53 MATERIALS</t>
  </si>
  <si>
    <t>Cardboard tube 2"</t>
  </si>
  <si>
    <t>36"</t>
  </si>
  <si>
    <t>99 MATERIALS</t>
  </si>
  <si>
    <t>Cardstock</t>
  </si>
  <si>
    <t>8.5x11"</t>
  </si>
  <si>
    <t>90 MATERIALS</t>
  </si>
  <si>
    <t>Honeycomb Board 1/2"</t>
  </si>
  <si>
    <t>33 MATERIALS</t>
  </si>
  <si>
    <t>Paperboard 1/16"</t>
  </si>
  <si>
    <t>35 MATERIALS</t>
  </si>
  <si>
    <t>Paperboard 1/32"</t>
  </si>
  <si>
    <t>36 MATERIALS</t>
  </si>
  <si>
    <t>Corrugated Plastic</t>
  </si>
  <si>
    <t>89 MATERIALS</t>
  </si>
  <si>
    <t>Dowel</t>
  </si>
  <si>
    <t>Birch dowel 1"</t>
  </si>
  <si>
    <t>121 MATERIALS</t>
  </si>
  <si>
    <t>Birch dowel 1/2"</t>
  </si>
  <si>
    <t>117 MATERIALS</t>
  </si>
  <si>
    <t>Birch dowel 1/4"</t>
  </si>
  <si>
    <t>113 MATERIALS</t>
  </si>
  <si>
    <t>Birch dowel 1/8"</t>
  </si>
  <si>
    <t>111 MATERIALS</t>
  </si>
  <si>
    <t>Birch dowel 1-1/4"</t>
  </si>
  <si>
    <t>123 MATERIALS</t>
  </si>
  <si>
    <t>Birch dowel 1-1/8"</t>
  </si>
  <si>
    <t>122 MATERIALS</t>
  </si>
  <si>
    <t>Birch dowel 3/16"</t>
  </si>
  <si>
    <t>112 MATERIALS</t>
  </si>
  <si>
    <t>Birch dowel 3/4"</t>
  </si>
  <si>
    <t>119 MATERIALS</t>
  </si>
  <si>
    <t>Birch dowel 3/8"</t>
  </si>
  <si>
    <t>115 MATERIALS</t>
  </si>
  <si>
    <t>Birch dowel 5/16"</t>
  </si>
  <si>
    <t>114 MATERIALS</t>
  </si>
  <si>
    <t>Birch dowel 5/8"</t>
  </si>
  <si>
    <t>118 MATERIALS</t>
  </si>
  <si>
    <t>Birch dowel 7/16"</t>
  </si>
  <si>
    <t>116 MATERIALS</t>
  </si>
  <si>
    <t>Birch dowel 7/8"</t>
  </si>
  <si>
    <t>120 MATERIALS</t>
  </si>
  <si>
    <t>Birch dowel round (specify size)</t>
  </si>
  <si>
    <t>70 MATERIALS</t>
  </si>
  <si>
    <t>Flex plywood</t>
  </si>
  <si>
    <t>Flexible plywood 13/64"</t>
  </si>
  <si>
    <t>64 MATERIALS</t>
  </si>
  <si>
    <t>Flexible plywood 5/16"</t>
  </si>
  <si>
    <t>65 MATERIALS</t>
  </si>
  <si>
    <t>Foam</t>
  </si>
  <si>
    <t>EPS Foam White 1/2"</t>
  </si>
  <si>
    <t>83 MATERIALS</t>
  </si>
  <si>
    <t>EPS Foam White 2"</t>
  </si>
  <si>
    <t>84 MATERIALS</t>
  </si>
  <si>
    <t>EVA black 1/2"</t>
  </si>
  <si>
    <t>94 MATERIALS</t>
  </si>
  <si>
    <t>EVA black 1/4"</t>
  </si>
  <si>
    <t>93 MATERIALS</t>
  </si>
  <si>
    <t>EVA black 1/8"</t>
  </si>
  <si>
    <t>92 MATERIALS</t>
  </si>
  <si>
    <t>Foam core black 3/16"</t>
  </si>
  <si>
    <t>30"x20"</t>
  </si>
  <si>
    <t>56 MATERIALS</t>
  </si>
  <si>
    <t>Foam core white 1/8"</t>
  </si>
  <si>
    <t>20"x30"</t>
  </si>
  <si>
    <t>31 MATERIALS</t>
  </si>
  <si>
    <t>Foam core white 3/16"</t>
  </si>
  <si>
    <t>55 MATERIALS</t>
  </si>
  <si>
    <t>PE foam White 1/2"</t>
  </si>
  <si>
    <t>52 MATERIALS</t>
  </si>
  <si>
    <t>XPS Blue 1/2"</t>
  </si>
  <si>
    <t>32 MATERIALS</t>
  </si>
  <si>
    <t>XPS Blue 2"</t>
  </si>
  <si>
    <t>105 MATERIALS</t>
  </si>
  <si>
    <t>MDF</t>
  </si>
  <si>
    <t>MDF 1/2"</t>
  </si>
  <si>
    <t>47 MATERIALS</t>
  </si>
  <si>
    <t>MDF 1/4"</t>
  </si>
  <si>
    <t>57 MATERIALS</t>
  </si>
  <si>
    <t>PVC Pipe</t>
  </si>
  <si>
    <t>PVC Cap 1"</t>
  </si>
  <si>
    <t>177 MATERIALS</t>
  </si>
  <si>
    <t>PVC Cap 1/2"</t>
  </si>
  <si>
    <t>180 MATERIALS</t>
  </si>
  <si>
    <t>PVC Coupler 1" to 3/4"</t>
  </si>
  <si>
    <t>174 MATERIALS</t>
  </si>
  <si>
    <t>PVC Coupler 3/4" to 3/4"</t>
  </si>
  <si>
    <t>172 MATERIALS</t>
  </si>
  <si>
    <t>PVC Cross 1"</t>
  </si>
  <si>
    <t>183 MATERIALS</t>
  </si>
  <si>
    <t>PVC Cross 1/2"</t>
  </si>
  <si>
    <t>184 MATERIALS</t>
  </si>
  <si>
    <t>PVC Drop ear Elbow 1/2"</t>
  </si>
  <si>
    <t>171 MATERIALS</t>
  </si>
  <si>
    <t>PVC Elbow 45 1"</t>
  </si>
  <si>
    <t>176 MATERIALS</t>
  </si>
  <si>
    <t>PVC Elbow 45 1/2"</t>
  </si>
  <si>
    <t>178 MATERIALS</t>
  </si>
  <si>
    <t>PVC Elbow 45 Deg 3/4"</t>
  </si>
  <si>
    <t>170 MATERIALS</t>
  </si>
  <si>
    <t>PVC Elbow 45 Deg 3/4" Inner/Outer</t>
  </si>
  <si>
    <t>175 MATERIALS</t>
  </si>
  <si>
    <t xml:space="preserve">PVC Elbow 90 1" </t>
  </si>
  <si>
    <t>168 MATERIALS</t>
  </si>
  <si>
    <t>PVC Elbow 90 1/2"</t>
  </si>
  <si>
    <t>179 MATERIALS</t>
  </si>
  <si>
    <t>PVC Elbow 90 deg 3/4"</t>
  </si>
  <si>
    <t>173 MATERIALS</t>
  </si>
  <si>
    <t>PVC Pipe 1"</t>
  </si>
  <si>
    <t>98 MATERIALS</t>
  </si>
  <si>
    <t>PVC Pipe 1/2"</t>
  </si>
  <si>
    <t>96 MATERIALS</t>
  </si>
  <si>
    <t>PVC Pipe 3/4"</t>
  </si>
  <si>
    <t>97 MATERIALS</t>
  </si>
  <si>
    <t>PVC Tee 1"</t>
  </si>
  <si>
    <t>167 MATERIALS</t>
  </si>
  <si>
    <t>PVC Tee 1/2"</t>
  </si>
  <si>
    <t>182 MATERIALS</t>
  </si>
  <si>
    <t>PVC Tee 3/4"</t>
  </si>
  <si>
    <t>181 MATERIALS</t>
  </si>
  <si>
    <t>PVC Tee 3/4" 3/4" 1/2"</t>
  </si>
  <si>
    <t>169 MATERIALS</t>
  </si>
  <si>
    <t>Spruce</t>
  </si>
  <si>
    <t>Spruce 1x1</t>
  </si>
  <si>
    <t>166 MATERIALS</t>
  </si>
  <si>
    <t>Spruce 1x2</t>
  </si>
  <si>
    <t>102 MATERIALS</t>
  </si>
  <si>
    <t>Spruce 1x4</t>
  </si>
  <si>
    <t>138 MATERIALS</t>
  </si>
  <si>
    <t>Spruce 2x2</t>
  </si>
  <si>
    <t>58 MATERIALS</t>
  </si>
  <si>
    <t>Spruce 2x4</t>
  </si>
  <si>
    <t>30 MATERIALS</t>
  </si>
  <si>
    <t>Sticks</t>
  </si>
  <si>
    <t>Balsa sticks soft (specify size)</t>
  </si>
  <si>
    <t>69 MATERIALS</t>
  </si>
  <si>
    <t>Bass stick 1 x 1"</t>
  </si>
  <si>
    <t>135 MATERIALS</t>
  </si>
  <si>
    <t>Bass stick 1/16 x 1/16"</t>
  </si>
  <si>
    <t>125 MATERIALS</t>
  </si>
  <si>
    <t>Bass stick 1/2 x 1/2"</t>
  </si>
  <si>
    <t>133 MATERIALS</t>
  </si>
  <si>
    <t>Bass stick 1/32 x 1/32"</t>
  </si>
  <si>
    <t>124 MATERIALS</t>
  </si>
  <si>
    <t>Bass stick 1/4 x 1/4"</t>
  </si>
  <si>
    <t>131 MATERIALS</t>
  </si>
  <si>
    <t>Bass stick 1/8 x 1/2"</t>
  </si>
  <si>
    <t>129 MATERIALS</t>
  </si>
  <si>
    <t>Bass stick 1/8 x 1/4"</t>
  </si>
  <si>
    <t>127 MATERIALS</t>
  </si>
  <si>
    <t>Bass stick 1/8 x 1/8"</t>
  </si>
  <si>
    <t>126 MATERIALS</t>
  </si>
  <si>
    <t>Bass stick 1/8 x 3/4"</t>
  </si>
  <si>
    <t>130 MATERIALS</t>
  </si>
  <si>
    <t>Bass stick 1/8 x 3/8"</t>
  </si>
  <si>
    <t>128 MATERIALS</t>
  </si>
  <si>
    <t>Bass stick 3/4 x 3/4"</t>
  </si>
  <si>
    <t>134 MATERIALS</t>
  </si>
  <si>
    <t>Bass stick 3/8 x 3/8"</t>
  </si>
  <si>
    <t>132 MATERIALS</t>
  </si>
  <si>
    <t>Basswood stick square (specify size)</t>
  </si>
  <si>
    <t>78 MATERIALS</t>
  </si>
  <si>
    <t>Tubing</t>
  </si>
  <si>
    <t>Flexible Tubing 1/4" I.D. x 3/8" O.D</t>
  </si>
  <si>
    <t>137 MATERIALS</t>
  </si>
  <si>
    <t>Flexible Tubing 1/8" I.D x 1/4" O.D.</t>
  </si>
  <si>
    <t>139 MATERIALS</t>
  </si>
  <si>
    <t>Flexible Tubing 1/8" I.D., 3/16" O.D.</t>
  </si>
  <si>
    <t>136 MATERIALS</t>
  </si>
  <si>
    <t xml:space="preserve">Vinyl </t>
  </si>
  <si>
    <t>Clear vinyl sheet</t>
  </si>
  <si>
    <t>91 MATERIALS</t>
  </si>
  <si>
    <t>Vinyl rigid</t>
  </si>
  <si>
    <t>165 MATERIALS</t>
  </si>
  <si>
    <t>Worbla A Black</t>
  </si>
  <si>
    <t>Worbla black</t>
  </si>
  <si>
    <t>95 MATERIALS</t>
  </si>
  <si>
    <t>PETG</t>
  </si>
  <si>
    <t>PETG 0.5 mm</t>
  </si>
  <si>
    <t>143 MATERIALS</t>
  </si>
  <si>
    <t>PETG 1.5 mm</t>
  </si>
  <si>
    <t>144 MATERIALS</t>
  </si>
  <si>
    <t>Misc</t>
  </si>
  <si>
    <t>Neodymium Magnet</t>
  </si>
  <si>
    <t>6V DC + encoder 160 RPM</t>
  </si>
  <si>
    <t xml:space="preserve">Set of assorted resistor </t>
  </si>
  <si>
    <t>188 OLDTRONICS</t>
  </si>
  <si>
    <t>Set of assorted capacitors</t>
  </si>
  <si>
    <t>189 OLDTRONICS</t>
  </si>
  <si>
    <t>3-Way Outside Corner End Bracket 1" High Rail</t>
  </si>
  <si>
    <t>232 MATERIALS</t>
  </si>
  <si>
    <t>Concealed Bracket for 1-1/2"&amp;40 mm High Single Rail</t>
  </si>
  <si>
    <t>223 MATERIALS</t>
  </si>
  <si>
    <t>231 MATERIALS</t>
  </si>
  <si>
    <t>Corner Concealed Bracket for 1" High Single Rail</t>
  </si>
  <si>
    <t>225 MATERIALS</t>
  </si>
  <si>
    <t>End-Feed Double Nut, Flanged-Button Head 1/4"-20 Thread (Pack of 4 pieces)</t>
  </si>
  <si>
    <t>218 MATERIALS</t>
  </si>
  <si>
    <t>End-Feed Nut with Flanged-Button Head, 1/4"-20 Thread Size (Pack of 4 pieces)</t>
  </si>
  <si>
    <t>220 MATERIALS</t>
  </si>
  <si>
    <t>End-Feed Triple Nut, 1/4"-20 Thread Size (Pack of 4 pieces)</t>
  </si>
  <si>
    <t>219 MATERIALS</t>
  </si>
  <si>
    <t>Hex Button Head Screw M5 x pitch 0.8 - 10 mm</t>
  </si>
  <si>
    <t>196 MATERIALS</t>
  </si>
  <si>
    <t>Hex Flanged Button Head Screw M4 x pitch 0.7 - 10 mm</t>
  </si>
  <si>
    <t>195 MATERIALS</t>
  </si>
  <si>
    <t>Hex Flat Head Screw M5 x pitch 0.8 - 12 mm</t>
  </si>
  <si>
    <t>194 MATERIALS</t>
  </si>
  <si>
    <t>Inline Pivot for 1" Single Rail</t>
  </si>
  <si>
    <t>217 MATERIALS</t>
  </si>
  <si>
    <t>Locking Pivot for 1" High Single Rail</t>
  </si>
  <si>
    <t>229 MATERIALS</t>
  </si>
  <si>
    <t>Perpendicular Pivot for 1" Single Rail</t>
  </si>
  <si>
    <t>221 MATERIALS</t>
  </si>
  <si>
    <t>Roller Wheel for 1" High Single Rail</t>
  </si>
  <si>
    <t>226 MATERIALS</t>
  </si>
  <si>
    <t>Silver 30 Degree Surface Bracket for 1" High Single Rail</t>
  </si>
  <si>
    <t>213 MATERIALS</t>
  </si>
  <si>
    <t>Silver 45 Degree Surface Bracket for 1" High Single Rail</t>
  </si>
  <si>
    <t>228 MATERIALS</t>
  </si>
  <si>
    <t>Silver 60 Degree Surface Bracket for 1" High Single Rail</t>
  </si>
  <si>
    <t>215 MATERIALS</t>
  </si>
  <si>
    <t>Silver Corner Bracket, 1" Long for 1" High Rail T-Slotted Framing</t>
  </si>
  <si>
    <t>230 MATERIALS</t>
  </si>
  <si>
    <t>Silver Corner Bracket, 2" Long for 1" High Rail T-Slotted Framing</t>
  </si>
  <si>
    <t>212 MATERIALS</t>
  </si>
  <si>
    <t>Silver Corner Surface Bracket for 1" High Single Rail</t>
  </si>
  <si>
    <t>216 MATERIALS</t>
  </si>
  <si>
    <t>Silver Straight Surface Bracket, 2" Long for 1" High Rail</t>
  </si>
  <si>
    <t>224 MATERIALS</t>
  </si>
  <si>
    <t>Silver Surface Bracket, 4" Long for 1" High Single Rail</t>
  </si>
  <si>
    <t>214 MATERIALS</t>
  </si>
  <si>
    <t>Silver Tee Surface Bracket for 1" High Single Rail</t>
  </si>
  <si>
    <t>222 MATERIALS</t>
  </si>
  <si>
    <t>T-Slotted Framing Drop-in Nut with Stud, 1/4"-20 Thread Size</t>
  </si>
  <si>
    <t>227 MATERIALS</t>
  </si>
  <si>
    <t>T-Slotted Framing Outside Corner End Bracket 1" High Single Rail</t>
  </si>
  <si>
    <t>211 MATERIALS</t>
  </si>
  <si>
    <t>Plywood 1/8" construction grade - Large</t>
  </si>
  <si>
    <t>209 MATERIALS</t>
  </si>
  <si>
    <t>Plywood 1/8" construction grade - Small</t>
  </si>
  <si>
    <t>210 MATERIALS</t>
  </si>
  <si>
    <t>Vacuum former</t>
  </si>
  <si>
    <t>ABS haircell 1/8" Large (3 mm) (vacuum form) - Black/White</t>
  </si>
  <si>
    <t>19.5"x24"</t>
  </si>
  <si>
    <t>208 MATERIALS</t>
  </si>
  <si>
    <t>ABS haircell 1/8" Medium (3 mm) (only vacuum form) - Black/White</t>
  </si>
  <si>
    <t>15"x15"</t>
  </si>
  <si>
    <t>207 MATERIALS</t>
  </si>
  <si>
    <t>ABS haircell 1/8" Small (3 mm) (only vacuum form) - Black/White</t>
  </si>
  <si>
    <t>8"x8"</t>
  </si>
  <si>
    <t>198 MATERIALS</t>
  </si>
  <si>
    <t>ABS haircell black 1/16 Large (1.5 mm) (only vacuum form)</t>
  </si>
  <si>
    <t>206 MATERIALS</t>
  </si>
  <si>
    <t>ABS haircell black 1/16" Medium (1.5 mm) (only vacuum form)</t>
  </si>
  <si>
    <t>205 MATERIALS</t>
  </si>
  <si>
    <t>ABS haircell black 1/16" Small (1.5 mm) (only vacuum form)</t>
  </si>
  <si>
    <t>199 MATERIALS</t>
  </si>
  <si>
    <t>PETG 0.5 mm clear (only vacuum form)</t>
  </si>
  <si>
    <t>197 MATERIALS</t>
  </si>
  <si>
    <t>203 MATERIALS</t>
  </si>
  <si>
    <t>204 MATERIALS</t>
  </si>
  <si>
    <t>PETG 1.5 mm clear - large (only vacuum form)</t>
  </si>
  <si>
    <t>202 MATERIALS</t>
  </si>
  <si>
    <t xml:space="preserve">PETG 1.5 mm clear - medium (only vacuum form) </t>
  </si>
  <si>
    <t>201 MATERIALS</t>
  </si>
  <si>
    <t>PETG 1.5 mm clear - small (only vacuum form)</t>
  </si>
  <si>
    <t>200 MATERIALS</t>
  </si>
  <si>
    <t>Round 6mm Diameter. 3 mm thick</t>
  </si>
  <si>
    <t>131 HARDWARE</t>
  </si>
  <si>
    <t>329 MECHATRONICS</t>
  </si>
  <si>
    <t>187 OLDTRONICS</t>
  </si>
  <si>
    <t>5V Photoresistor Relay Module</t>
  </si>
  <si>
    <t>https://protosupplies.com/product/light-sensitive-ldr-relay-module-5v/
https://protosupplies.com/product/light-sensitive-ldr-relay-module-5v/</t>
  </si>
  <si>
    <t>193 OLDTRONICS</t>
  </si>
  <si>
    <t>DC Gear Motor 6V 130RPM</t>
  </si>
  <si>
    <t>https://abra-electronics.com/electromechanical/motors/gear-motors/metal-gearmotors/jga25-370-series/jga25-370-6v12-e-6vdc-12-rpm-dc-gear-motor-with-magnetic-encoder-clone.html
https://abra-electronics.com/electromechanical/motors/gear-motors/metal-gearmotors/jga25-370-series/jga25-370-6v12-e-6vdc-12-rpm-dc-gear-motor-with-magnetic-encoder-clone.html</t>
  </si>
  <si>
    <t>194 OLDTRONICS</t>
  </si>
  <si>
    <t>DC Gear Motor 6V 170RPM</t>
  </si>
  <si>
    <t>195 OLDTRONICS</t>
  </si>
  <si>
    <t>5V DC Step Motor</t>
  </si>
  <si>
    <t>https://www.adafruit.com/product/858#technical-details
https://www.adafruit.com/product/858#technical-details</t>
  </si>
  <si>
    <t>196 OLDTRONICS</t>
  </si>
  <si>
    <t>4 HOLE JOINING STRIP</t>
  </si>
  <si>
    <t>236 MATERIALS</t>
  </si>
  <si>
    <t>5 HOLE "L" FLAT PLATE</t>
  </si>
  <si>
    <t>235 MATERIALS</t>
  </si>
  <si>
    <t xml:space="preserve">Lite Inside Corner Bracket </t>
  </si>
  <si>
    <t>234 MATERIALS</t>
  </si>
  <si>
    <t>Paracord 4 mm</t>
  </si>
  <si>
    <t>233 MATERIALS</t>
  </si>
  <si>
    <t>20"x20"</t>
  </si>
  <si>
    <t>Bearing balls</t>
  </si>
  <si>
    <t>Bearing Balls 1/4"</t>
  </si>
  <si>
    <t>1/4" - Chrome Steel</t>
  </si>
  <si>
    <t>5 HARDWARE</t>
  </si>
  <si>
    <t>Bearing Balls 1/8"</t>
  </si>
  <si>
    <t>1/8" - Chrome Steel</t>
  </si>
  <si>
    <t>1 HARDWARE</t>
  </si>
  <si>
    <t>Bearing Balls 3/16"</t>
  </si>
  <si>
    <t>3/16" - Chrome Steel</t>
  </si>
  <si>
    <t>2 HARDWARE</t>
  </si>
  <si>
    <t>Bearing Balls 5/32"</t>
  </si>
  <si>
    <t>5/32" - Chrome Steel</t>
  </si>
  <si>
    <t>3 HARDWARE</t>
  </si>
  <si>
    <t>Bearing Balls 7/32"</t>
  </si>
  <si>
    <t>7/32" - Chrome Steel</t>
  </si>
  <si>
    <t>4 HARDWARE</t>
  </si>
  <si>
    <t>Mini Ball Bearings</t>
  </si>
  <si>
    <t>5 mm x 11 mm x 4 mm</t>
  </si>
  <si>
    <t>6 HARDWARE</t>
  </si>
  <si>
    <t>Hex bolts</t>
  </si>
  <si>
    <t xml:space="preserve">1/4-20 x 2" Hex Bolt </t>
  </si>
  <si>
    <t>2"</t>
  </si>
  <si>
    <t>57 HARDWARE</t>
  </si>
  <si>
    <t xml:space="preserve">1/4-20 x 3/4" Hex Bolt </t>
  </si>
  <si>
    <t>3/4"</t>
  </si>
  <si>
    <t>56 HARDWARE</t>
  </si>
  <si>
    <t xml:space="preserve">3/8-16 x 2" Hex Bolt </t>
  </si>
  <si>
    <t>58 HARDWARE</t>
  </si>
  <si>
    <t xml:space="preserve">3/8-16 x 3" Hex Bolt </t>
  </si>
  <si>
    <t>3"</t>
  </si>
  <si>
    <t>59 HARDWARE</t>
  </si>
  <si>
    <t xml:space="preserve">3/8-16 x 4" Hex Bolt </t>
  </si>
  <si>
    <t>4"</t>
  </si>
  <si>
    <t>60 HARDWARE</t>
  </si>
  <si>
    <t xml:space="preserve">3/8-16 x 5" Hex Bolt </t>
  </si>
  <si>
    <t>5"</t>
  </si>
  <si>
    <t>61 HARDWARE</t>
  </si>
  <si>
    <t>M3 Flat Head Socket Head</t>
  </si>
  <si>
    <t>88 HARDWARE</t>
  </si>
  <si>
    <t>1/4-20 x 3" Hex Bolt</t>
  </si>
  <si>
    <t>121 HARDWARE</t>
  </si>
  <si>
    <t>Machine screws</t>
  </si>
  <si>
    <t>1/4-20 x 1 1/2" Round Head</t>
  </si>
  <si>
    <t>385-B38-1C</t>
  </si>
  <si>
    <t>67 HARDWARE</t>
  </si>
  <si>
    <t>1/4-20 x 1" Round Head</t>
  </si>
  <si>
    <t>385-209</t>
  </si>
  <si>
    <t>66 HARDWARE</t>
  </si>
  <si>
    <t>1/4-20 x 1/2" Round Head</t>
  </si>
  <si>
    <t>385-210</t>
  </si>
  <si>
    <t>64 HARDWARE</t>
  </si>
  <si>
    <t>1/4-20 x 3" Round Head</t>
  </si>
  <si>
    <t>68 HARDWARE</t>
  </si>
  <si>
    <t>1/4-20 x 3/4" Round Head</t>
  </si>
  <si>
    <t>385-C28-1A</t>
  </si>
  <si>
    <t>65 HARDWARE</t>
  </si>
  <si>
    <t>10-24 x 1 1/4" Round Head</t>
  </si>
  <si>
    <t>1 1/4"</t>
  </si>
  <si>
    <t>63 HARDWARE</t>
  </si>
  <si>
    <t>10-24 x 1/2" Round Head</t>
  </si>
  <si>
    <t>385-B26-1C</t>
  </si>
  <si>
    <t>62 HARDWARE</t>
  </si>
  <si>
    <t>10-32 x 1 1/4" Round Head</t>
  </si>
  <si>
    <t>385-116</t>
  </si>
  <si>
    <t>52 HARDWARE</t>
  </si>
  <si>
    <t>10-32 x 1" Round Head</t>
  </si>
  <si>
    <t>385-B33-2M</t>
  </si>
  <si>
    <t>51 HARDWARE</t>
  </si>
  <si>
    <t>10-32 x 1/2" Round Head</t>
  </si>
  <si>
    <t>385-B02-1C</t>
  </si>
  <si>
    <t>49 HARDWARE</t>
  </si>
  <si>
    <t>10-32 x 3/4" Round Head</t>
  </si>
  <si>
    <t>50 HARDWARE</t>
  </si>
  <si>
    <t>6-32 x 1" Round Head</t>
  </si>
  <si>
    <t>385-B25-1Y</t>
  </si>
  <si>
    <t>43 HARDWARE</t>
  </si>
  <si>
    <t>6-32 x 1/2" Round Head</t>
  </si>
  <si>
    <t>41 HARDWARE</t>
  </si>
  <si>
    <t>6-32 x 1/4" Round Head</t>
  </si>
  <si>
    <t>40 HARDWARE</t>
  </si>
  <si>
    <t>6-32 x 3/4" Round Head</t>
  </si>
  <si>
    <t>385-084</t>
  </si>
  <si>
    <t>42 HARDWARE</t>
  </si>
  <si>
    <t>8-32 x 1 1/2" Round Head</t>
  </si>
  <si>
    <t>835-C39-1X</t>
  </si>
  <si>
    <t>47 HARDWARE</t>
  </si>
  <si>
    <t>8-32 x 1 1/4" Round Head</t>
  </si>
  <si>
    <t>385-251</t>
  </si>
  <si>
    <t>46 HARDWARE</t>
  </si>
  <si>
    <t>8-32 x 1/2" Round Head</t>
  </si>
  <si>
    <t>385-B07-1M</t>
  </si>
  <si>
    <t>44 HARDWARE</t>
  </si>
  <si>
    <t>8-32 x 3/4" Round Head</t>
  </si>
  <si>
    <t>385-B56-1W</t>
  </si>
  <si>
    <t>45 HARDWARE</t>
  </si>
  <si>
    <t>M1.6</t>
  </si>
  <si>
    <t>86 HARDWARE</t>
  </si>
  <si>
    <t>M3 pitch 0.50- 10mm</t>
  </si>
  <si>
    <t>10 mm</t>
  </si>
  <si>
    <t>15 HARDWARE</t>
  </si>
  <si>
    <t>M3 pitch 0.50- 12mm</t>
  </si>
  <si>
    <t>12 mm</t>
  </si>
  <si>
    <t>16 HARDWARE</t>
  </si>
  <si>
    <t>M3 pitch 0.50- 20mm</t>
  </si>
  <si>
    <t>20 mm</t>
  </si>
  <si>
    <t>17 HARDWARE</t>
  </si>
  <si>
    <t>M3 pitch 0.50- 25mm</t>
  </si>
  <si>
    <t>25 mm</t>
  </si>
  <si>
    <t>18 HARDWARE</t>
  </si>
  <si>
    <t>M3 pitch 0.50- 35mm</t>
  </si>
  <si>
    <t>35 mm</t>
  </si>
  <si>
    <t>19 HARDWARE</t>
  </si>
  <si>
    <t>M3 pitch 0.50- 40mm</t>
  </si>
  <si>
    <t>40 mm</t>
  </si>
  <si>
    <t>20 HARDWARE</t>
  </si>
  <si>
    <t>M3 pitch 0.50- 5mm</t>
  </si>
  <si>
    <t>5mm</t>
  </si>
  <si>
    <t>12 HARDWARE</t>
  </si>
  <si>
    <t>M3 pitch 0.50- 6mm</t>
  </si>
  <si>
    <t>6 mm</t>
  </si>
  <si>
    <t>13 HARDWARE</t>
  </si>
  <si>
    <t>M3 pitch 0.50- 8mm</t>
  </si>
  <si>
    <t>8 mm</t>
  </si>
  <si>
    <t>14 HARDWARE</t>
  </si>
  <si>
    <t>M4 pitch 0.70- 35mm</t>
  </si>
  <si>
    <t>21 HARDWARE</t>
  </si>
  <si>
    <t>M5 pitch 0.80- 35mm</t>
  </si>
  <si>
    <t>22 HARDWARE</t>
  </si>
  <si>
    <t>6-32 x 1/4" Oval Head</t>
  </si>
  <si>
    <t>122 HARDWARE</t>
  </si>
  <si>
    <t>M6 pitch 1.00-18mm</t>
  </si>
  <si>
    <t>18mm</t>
  </si>
  <si>
    <t>119 HARDWARE</t>
  </si>
  <si>
    <t>M6 pitch 1.00- 25mm</t>
  </si>
  <si>
    <t>25mm</t>
  </si>
  <si>
    <t>120 HARDWARE</t>
  </si>
  <si>
    <t>6-32 x 1/2" Oval Head</t>
  </si>
  <si>
    <t>123 HARDWARE</t>
  </si>
  <si>
    <t>6-32 x 3/4" Oval Head</t>
  </si>
  <si>
    <t>91802A151</t>
  </si>
  <si>
    <t>124 HARDWARE</t>
  </si>
  <si>
    <t>10-32 x 3/4" Oval Head</t>
  </si>
  <si>
    <t>91820A831</t>
  </si>
  <si>
    <t>125 HARDWARE</t>
  </si>
  <si>
    <t>10-32 x 1/2" Oval Head</t>
  </si>
  <si>
    <t>91802A829</t>
  </si>
  <si>
    <t>126 HARDWARE</t>
  </si>
  <si>
    <t>8-32 x 3/4" Oval Head</t>
  </si>
  <si>
    <t>91802A197</t>
  </si>
  <si>
    <t>127 HARDWARE</t>
  </si>
  <si>
    <t>M3 pitch 0.50- 16 mm</t>
  </si>
  <si>
    <t>16mm</t>
  </si>
  <si>
    <t>128 HARDWARE</t>
  </si>
  <si>
    <t>M3 pitch 0.50 x 30mm</t>
  </si>
  <si>
    <t xml:space="preserve">30mm </t>
  </si>
  <si>
    <t>129 HARDWARE</t>
  </si>
  <si>
    <t>M4 pitch 0.70 x 25mm</t>
  </si>
  <si>
    <t xml:space="preserve">25mm </t>
  </si>
  <si>
    <t>130 HARDWARE</t>
  </si>
  <si>
    <t>1 3/4" Deck Screw</t>
  </si>
  <si>
    <t>1 3/4"</t>
  </si>
  <si>
    <t>71 HARDWARE</t>
  </si>
  <si>
    <t>1" Self Tapping Flat Head</t>
  </si>
  <si>
    <t>1"</t>
  </si>
  <si>
    <t>72 HARDWARE</t>
  </si>
  <si>
    <t>3/16 x 2 1/4" Tapper Screws</t>
  </si>
  <si>
    <t>2 1/4"</t>
  </si>
  <si>
    <t>70 HARDWARE</t>
  </si>
  <si>
    <t>Perforated Hanger Strap</t>
  </si>
  <si>
    <t>53 HARDWARE</t>
  </si>
  <si>
    <t>Roofing Nails</t>
  </si>
  <si>
    <t>73 HARDWARE</t>
  </si>
  <si>
    <t>Spiral Deck Nails</t>
  </si>
  <si>
    <t>2 1/2"</t>
  </si>
  <si>
    <t>69 HARDWARE</t>
  </si>
  <si>
    <t>Threaded rod 1/4 20</t>
  </si>
  <si>
    <t>1/4-20 Threaded rod 1 foot</t>
  </si>
  <si>
    <t>7 HARDWARE</t>
  </si>
  <si>
    <t xml:space="preserve">Caster ball 1" </t>
  </si>
  <si>
    <t>103 HARDWARE</t>
  </si>
  <si>
    <t>Caster ball 1/2"</t>
  </si>
  <si>
    <t>104 HARDWARE</t>
  </si>
  <si>
    <t>Pipe strap 3/4"</t>
  </si>
  <si>
    <t>110 HARDWARE</t>
  </si>
  <si>
    <t>Hinges 18 and 24 mm</t>
  </si>
  <si>
    <t>https://www.amazon.ca/gp/product/B09N94GRCN/ref=ppx_yo_dt_b_asin_title_o00_s00?ie=UTF8&amp;th=1</t>
  </si>
  <si>
    <t>111 HARDWARE</t>
  </si>
  <si>
    <t>Toggle Clamp Latch (double screw)</t>
  </si>
  <si>
    <t>https://www.amazon.ca/dp/B08GQ84KB3?ref=ppx_yo2ov_dt_b_product_details&amp;th=1</t>
  </si>
  <si>
    <t>113 HARDWARE</t>
  </si>
  <si>
    <t>Toggle Clamp Latch (single screw)</t>
  </si>
  <si>
    <t>114 HARDWARE</t>
  </si>
  <si>
    <t>Nuts</t>
  </si>
  <si>
    <t>10-24 Hex Nut</t>
  </si>
  <si>
    <t>155-PO8-1T</t>
  </si>
  <si>
    <t>74 HARDWARE</t>
  </si>
  <si>
    <t xml:space="preserve">10-32 Hex Nut </t>
  </si>
  <si>
    <t>55 HARDWARE</t>
  </si>
  <si>
    <t>3/8-16 Hex Nut</t>
  </si>
  <si>
    <t>3/8"</t>
  </si>
  <si>
    <t>76 HARDWARE</t>
  </si>
  <si>
    <t>8-32 Hex Nut</t>
  </si>
  <si>
    <t>8/32" 155-P05-1Y</t>
  </si>
  <si>
    <t>91 HARDWARE</t>
  </si>
  <si>
    <t xml:space="preserve">Hex Nut 1/4-20 </t>
  </si>
  <si>
    <t>155-P06-1C</t>
  </si>
  <si>
    <t>75 HARDWARE</t>
  </si>
  <si>
    <t>Hex Nut 6-32</t>
  </si>
  <si>
    <t>B-1521</t>
  </si>
  <si>
    <t>54 HARDWARE</t>
  </si>
  <si>
    <t>Hex nut M3 pitch 0.5</t>
  </si>
  <si>
    <t>23 HARDWARE</t>
  </si>
  <si>
    <t>Hex nut M4 pitch 0.70</t>
  </si>
  <si>
    <t>25 HARDWARE</t>
  </si>
  <si>
    <t>Hex nut M5 pitch 0.80</t>
  </si>
  <si>
    <t>24 HARDWARE</t>
  </si>
  <si>
    <t>M1.6 Hex Nut</t>
  </si>
  <si>
    <t>87 HARDWARE</t>
  </si>
  <si>
    <t>M3 Locknut</t>
  </si>
  <si>
    <t>M3</t>
  </si>
  <si>
    <t>92 HARDWARE</t>
  </si>
  <si>
    <t>Hex Nut M6 x pitch 1 mm</t>
  </si>
  <si>
    <t>132 HARDWARE</t>
  </si>
  <si>
    <t>Threaded inserts M3</t>
  </si>
  <si>
    <t>112 HARDWARE</t>
  </si>
  <si>
    <t>Rivets</t>
  </si>
  <si>
    <t>1/4 Rivets</t>
  </si>
  <si>
    <t>1/4"</t>
  </si>
  <si>
    <t>81 HARDWARE</t>
  </si>
  <si>
    <t>1/8 Rivets</t>
  </si>
  <si>
    <t>1/8"</t>
  </si>
  <si>
    <t>83 HARDWARE</t>
  </si>
  <si>
    <t>3/16 Rivets</t>
  </si>
  <si>
    <t>3/16"</t>
  </si>
  <si>
    <t>85 HARDWARE</t>
  </si>
  <si>
    <t>3/32 Rivets</t>
  </si>
  <si>
    <t>3/32"</t>
  </si>
  <si>
    <t>82 HARDWARE</t>
  </si>
  <si>
    <t>5/32 Rivets</t>
  </si>
  <si>
    <t>5/32"</t>
  </si>
  <si>
    <t>84 HARDWARE</t>
  </si>
  <si>
    <t>Washers</t>
  </si>
  <si>
    <t>1/4-20 Split Washer</t>
  </si>
  <si>
    <t>78 HARDWARE</t>
  </si>
  <si>
    <t>1/4-20 Washer</t>
  </si>
  <si>
    <t>77 HARDWARE</t>
  </si>
  <si>
    <t>3/8-16 Split Washer</t>
  </si>
  <si>
    <t>80 HARDWARE</t>
  </si>
  <si>
    <t>3/8-16 Washer</t>
  </si>
  <si>
    <t>79 HARDWARE</t>
  </si>
  <si>
    <t>M3 split washer</t>
  </si>
  <si>
    <t>94 HARDWARE</t>
  </si>
  <si>
    <t>M3 Washers</t>
  </si>
  <si>
    <t>48 HARDWARE</t>
  </si>
  <si>
    <t>#6 washer</t>
  </si>
  <si>
    <t>106 HARDWARE</t>
  </si>
  <si>
    <t>#8 washer</t>
  </si>
  <si>
    <t>107 HARDWARE</t>
  </si>
  <si>
    <t>Wooden screws</t>
  </si>
  <si>
    <t>#6 x 1/2" Flat Head</t>
  </si>
  <si>
    <t>1/2"</t>
  </si>
  <si>
    <t>27 HARDWARE</t>
  </si>
  <si>
    <t xml:space="preserve">#6 x 1/2" Round Head </t>
  </si>
  <si>
    <t>WS-120</t>
  </si>
  <si>
    <t>28 HARDWARE</t>
  </si>
  <si>
    <t>#6 x 1" Flat Head</t>
  </si>
  <si>
    <t>593-K02-1Y</t>
  </si>
  <si>
    <t>29 HARDWARE</t>
  </si>
  <si>
    <t>#6 x 1 1/2" Flat Head</t>
  </si>
  <si>
    <t>593-005</t>
  </si>
  <si>
    <t>30 HARDWARE</t>
  </si>
  <si>
    <t>#6 x 2" Flat Head</t>
  </si>
  <si>
    <t>WS-94</t>
  </si>
  <si>
    <t>31 HARDWARE</t>
  </si>
  <si>
    <t>#8 x 1" Flat Head</t>
  </si>
  <si>
    <t>WS-20</t>
  </si>
  <si>
    <t>32 HARDWARE</t>
  </si>
  <si>
    <t>#8 x 1 1/2" Flat Head</t>
  </si>
  <si>
    <t>593-KO5-1T</t>
  </si>
  <si>
    <t>33 HARDWARE</t>
  </si>
  <si>
    <t>#8 x 4" Flat Head</t>
  </si>
  <si>
    <t>34 HARDWARE</t>
  </si>
  <si>
    <t>#12 x 3/4" Flat Head</t>
  </si>
  <si>
    <t>35 HARDWARE</t>
  </si>
  <si>
    <t>#12 x 1" Flat Head</t>
  </si>
  <si>
    <t>36 HARDWARE</t>
  </si>
  <si>
    <t>#12 x 1 1/2" Flat Head</t>
  </si>
  <si>
    <t>1 1/2"</t>
  </si>
  <si>
    <t>37 HARDWARE</t>
  </si>
  <si>
    <t>#12 x 4" Flat Head</t>
  </si>
  <si>
    <t>38 HARDWARE</t>
  </si>
  <si>
    <t>#6 x 3/4" Flat Head</t>
  </si>
  <si>
    <t>WS-56</t>
  </si>
  <si>
    <t>39 HARDWARE</t>
  </si>
  <si>
    <t>#8 x 3" Flat Head</t>
  </si>
  <si>
    <t>89 HARDWARE</t>
  </si>
  <si>
    <t>#8 x 1/2" Flat Head</t>
  </si>
  <si>
    <t>105 HARDWARE</t>
  </si>
  <si>
    <t>#8 x 1 1/4" Flat Head</t>
  </si>
  <si>
    <t>115 HARDWARE</t>
  </si>
  <si>
    <t>#8 x 2" Flat Head</t>
  </si>
  <si>
    <t>117 HARDWARE</t>
  </si>
  <si>
    <t>#8 x 2 1/2" Flat Head</t>
  </si>
  <si>
    <t>118 HARDWARE</t>
  </si>
  <si>
    <t>M3 x 5 mm Socket</t>
  </si>
  <si>
    <t>93 HARDWARE</t>
  </si>
  <si>
    <t>CourseKits</t>
  </si>
  <si>
    <t>ESC204 Workshop Consumables Only</t>
  </si>
  <si>
    <t>9 HARDWARE</t>
  </si>
  <si>
    <t>ESC204 Workshop Rover W/Consumables</t>
  </si>
  <si>
    <t>8 HARDWARE</t>
  </si>
  <si>
    <t>MSE398 tensile tester Kit</t>
  </si>
  <si>
    <t>2020-2021</t>
  </si>
  <si>
    <t>11 HARDWARE</t>
  </si>
  <si>
    <t>ESC204 Lab 1 kit</t>
  </si>
  <si>
    <t>95 HARDWARE</t>
  </si>
  <si>
    <t>ESC204 Lab2 kit</t>
  </si>
  <si>
    <t>96 HARDWARE</t>
  </si>
  <si>
    <t>ESC204 Lab 3A kit (MECH) (x41)</t>
  </si>
  <si>
    <t>Mechatronics Kit</t>
  </si>
  <si>
    <t>101 HARDWARE</t>
  </si>
  <si>
    <t>ESC204 Lab 3B kit (IoT) (x41)</t>
  </si>
  <si>
    <t>Arduino Nano RP2040 for IoT</t>
  </si>
  <si>
    <t>102 HARDWARE</t>
  </si>
  <si>
    <t>ESP I - Measuring tape 30m</t>
  </si>
  <si>
    <t>Rental - Return to MYFab</t>
  </si>
  <si>
    <t>108 HARDWARE</t>
  </si>
  <si>
    <t>ESP I - Measuring wheel</t>
  </si>
  <si>
    <t>109 HARDWARE</t>
  </si>
  <si>
    <t>MG996R Servo motor</t>
  </si>
  <si>
    <t>55 MECHATRONICS</t>
  </si>
  <si>
    <t>Micro Servo Motor 360</t>
  </si>
  <si>
    <t>184 MECHATRONICS</t>
  </si>
  <si>
    <t>RPI Pico W</t>
  </si>
  <si>
    <t>https://datasheets.raspberrypi.com/picow/pico-w-datasheet.pdf
https://datasheets.raspberrypi.com/picow/pico-w-datasheet.pdf</t>
  </si>
  <si>
    <t>324 MECHATRONICS</t>
  </si>
  <si>
    <t>huan4397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</si>
</sst>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entury Gothic"/>
      <family val="2"/>
    </font>
    <font>
      <sz val="13"/>
      <color theme="1"/>
      <name val="Century Gothic"/>
      <family val="2"/>
    </font>
    <font>
      <b/>
      <sz val="13"/>
      <color theme="0"/>
      <name val="Century Gothic"/>
      <family val="2"/>
    </font>
    <font>
      <b/>
      <sz val="13"/>
      <color theme="1"/>
      <name val="Century Gothic"/>
      <family val="2"/>
    </font>
    <font>
      <sz val="13"/>
      <name val="Century Gothic"/>
      <family val="2"/>
    </font>
    <font>
      <sz val="14"/>
      <color theme="1"/>
      <name val="Calibri"/>
      <family val="2"/>
      <scheme val="minor"/>
    </font>
    <font>
      <b/>
      <sz val="48"/>
      <color theme="1"/>
      <name val="Century Gothic"/>
      <family val="2"/>
    </font>
    <font>
      <sz val="48"/>
      <color theme="1"/>
      <name val="Calibri"/>
      <family val="2"/>
      <scheme val="minor"/>
    </font>
    <font>
      <b/>
      <sz val="18"/>
      <color theme="9" tint="-0.249977111117893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11"/>
      <color rgb="FF3366FF"/>
      <name val="Century Gothic"/>
      <family val="1"/>
    </font>
    <font>
      <b/>
      <sz val="11"/>
      <color rgb="FFFF6600"/>
      <name val="Century Gothic"/>
      <family val="1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DC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7C8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Protection="1">
      <protection locked="0"/>
    </xf>
    <xf numFmtId="0" fontId="20" fillId="0" borderId="0" xfId="0" applyFont="1"/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right"/>
    </xf>
    <xf numFmtId="164" fontId="21" fillId="33" borderId="13" xfId="42" applyNumberFormat="1" applyFont="1" applyFill="1" applyBorder="1"/>
    <xf numFmtId="0" fontId="24" fillId="0" borderId="0" xfId="0" pivotButton="1" applyFont="1"/>
    <xf numFmtId="0" fontId="24" fillId="0" borderId="0" xfId="0" applyFont="1"/>
    <xf numFmtId="0" fontId="20" fillId="0" borderId="0" xfId="0" applyFont="1" applyAlignment="1">
      <alignment wrapText="1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wrapText="1"/>
    </xf>
    <xf numFmtId="0" fontId="0" fillId="0" borderId="0" xfId="0" applyAlignment="1" applyProtection="1">
      <alignment horizont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26" fillId="0" borderId="0" xfId="0" applyFont="1" applyProtection="1">
      <protection locked="0"/>
    </xf>
    <xf numFmtId="0" fontId="27" fillId="0" borderId="0" xfId="0" applyFont="1" applyAlignment="1">
      <alignment horizontal="center" vertical="center" wrapText="1"/>
    </xf>
    <xf numFmtId="0" fontId="24" fillId="38" borderId="0" xfId="0" applyFont="1" applyFill="1"/>
    <xf numFmtId="0" fontId="24" fillId="37" borderId="0" xfId="0" applyFont="1" applyFill="1"/>
    <xf numFmtId="0" fontId="24" fillId="0" borderId="0" xfId="0" pivotButton="1" applyFont="1" applyAlignment="1">
      <alignment horizontal="center"/>
    </xf>
    <xf numFmtId="0" fontId="23" fillId="0" borderId="0" xfId="0" applyFont="1"/>
    <xf numFmtId="0" fontId="22" fillId="0" borderId="0" xfId="0" applyFont="1" applyAlignment="1">
      <alignment horizontal="left" vertical="center"/>
    </xf>
    <xf numFmtId="0" fontId="22" fillId="0" borderId="0" xfId="0" applyFont="1"/>
    <xf numFmtId="0" fontId="29" fillId="0" borderId="0" xfId="0" applyFont="1"/>
    <xf numFmtId="0" fontId="20" fillId="39" borderId="10" xfId="0" applyFont="1" applyFill="1" applyBorder="1"/>
    <xf numFmtId="0" fontId="24" fillId="0" borderId="0" xfId="0" applyFont="1" applyAlignment="1">
      <alignment horizontal="center"/>
    </xf>
    <xf numFmtId="0" fontId="25" fillId="35" borderId="20" xfId="0" applyFont="1" applyFill="1" applyBorder="1" applyAlignment="1" applyProtection="1">
      <alignment horizontal="center"/>
      <protection locked="0"/>
    </xf>
    <xf numFmtId="0" fontId="25" fillId="35" borderId="0" xfId="0" applyFont="1" applyFill="1" applyAlignment="1" applyProtection="1">
      <alignment horizontal="center"/>
      <protection locked="0"/>
    </xf>
    <xf numFmtId="0" fontId="25" fillId="33" borderId="20" xfId="0" applyFont="1" applyFill="1" applyBorder="1" applyAlignment="1" applyProtection="1">
      <alignment horizontal="center" vertical="center"/>
      <protection locked="0"/>
    </xf>
    <xf numFmtId="0" fontId="25" fillId="33" borderId="0" xfId="0" applyFont="1" applyFill="1" applyAlignment="1" applyProtection="1">
      <alignment horizontal="center" vertical="center"/>
      <protection locked="0"/>
    </xf>
    <xf numFmtId="0" fontId="25" fillId="34" borderId="20" xfId="0" applyFont="1" applyFill="1" applyBorder="1" applyAlignment="1" applyProtection="1">
      <alignment horizontal="center" vertical="center"/>
      <protection locked="0"/>
    </xf>
    <xf numFmtId="0" fontId="25" fillId="34" borderId="0" xfId="0" applyFont="1" applyFill="1" applyAlignment="1" applyProtection="1">
      <alignment horizontal="center" vertical="center"/>
      <protection locked="0"/>
    </xf>
    <xf numFmtId="0" fontId="28" fillId="36" borderId="0" xfId="0" applyFont="1" applyFill="1" applyAlignment="1" applyProtection="1">
      <alignment horizontal="center"/>
      <protection locked="0"/>
    </xf>
    <xf numFmtId="0" fontId="19" fillId="0" borderId="15" xfId="0" applyFont="1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19" fillId="0" borderId="17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0" fontId="19" fillId="0" borderId="19" xfId="0" applyFont="1" applyBorder="1" applyAlignment="1">
      <alignment horizontal="center" vertical="center"/>
    </xf>
    <xf numFmtId="0" fontId="21" fillId="33" borderId="11" xfId="0" applyFont="1" applyFill="1" applyBorder="1" applyAlignment="1">
      <alignment horizontal="center"/>
    </xf>
    <xf numFmtId="0" fontId="21" fillId="33" borderId="12" xfId="0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043"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ont>
        <b val="0"/>
        <i val="0"/>
        <strike/>
      </font>
    </dxf>
    <dxf>
      <fill>
        <patternFill>
          <bgColor rgb="FFFF7C80"/>
        </patternFill>
      </fill>
    </dxf>
    <dxf>
      <fill>
        <gradientFill degree="90">
          <stop position="0">
            <color theme="0"/>
          </stop>
          <stop position="1">
            <color theme="9"/>
          </stop>
        </gradientFill>
      </fill>
    </dxf>
    <dxf>
      <fill>
        <gradientFill degree="90">
          <stop position="0">
            <color theme="0"/>
          </stop>
          <stop position="1">
            <color theme="5"/>
          </stop>
        </gradientFill>
      </fill>
    </dxf>
    <dxf>
      <font>
        <strike/>
      </font>
    </dxf>
    <dxf>
      <font>
        <strike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auto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FFCDCD"/>
        </patternFill>
      </fill>
    </dxf>
    <dxf>
      <fill>
        <patternFill patternType="solid">
          <bgColor rgb="FFC00000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</dxfs>
  <tableStyles count="0" defaultTableStyle="TableStyleMedium2" defaultPivotStyle="PivotStyleLight16"/>
  <colors>
    <mruColors>
      <color rgb="FFFF7C80"/>
      <color rgb="FFFF0000"/>
      <color rgb="FFFFCDCD"/>
      <color rgb="FFF9ADA5"/>
      <color rgb="FFF255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4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241300</xdr:colOff>
          <xdr:row>0</xdr:row>
          <xdr:rowOff>190500</xdr:rowOff>
        </xdr:from>
        <xdr:to>
          <xdr:col>3</xdr:col>
          <xdr:colOff>1778000</xdr:colOff>
          <xdr:row>1</xdr:row>
          <xdr:rowOff>292100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4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3366FF"/>
                  </a:solidFill>
                  <a:latin typeface="Century Gothic" pitchFamily="1" charset="0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889000</xdr:colOff>
          <xdr:row>0</xdr:row>
          <xdr:rowOff>203200</xdr:rowOff>
        </xdr:from>
        <xdr:to>
          <xdr:col>10</xdr:col>
          <xdr:colOff>736600</xdr:colOff>
          <xdr:row>1</xdr:row>
          <xdr:rowOff>292100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4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6600"/>
                  </a:solidFill>
                  <a:latin typeface="Century Gothic" pitchFamily="1" charset="0"/>
                </a:rPr>
                <a:t>Screenshot Purchase order (jpg)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342900</xdr:colOff>
      <xdr:row>11</xdr:row>
      <xdr:rowOff>12700</xdr:rowOff>
    </xdr:from>
    <xdr:to>
      <xdr:col>10</xdr:col>
      <xdr:colOff>63500</xdr:colOff>
      <xdr:row>14</xdr:row>
      <xdr:rowOff>63500</xdr:rowOff>
    </xdr:to>
    <xdr:sp macro="" textlink="">
      <xdr:nvSpPr>
        <xdr:cNvPr id="21505" name="CommandButton1" hidden="1">
          <a:extLst>
            <a:ext uri="{63B3BB69-23CF-44E3-9099-C40C66FF867C}">
              <a14:compatExt xmlns:a14="http://schemas.microsoft.com/office/drawing/2010/main" spid="_x0000_s21505"/>
            </a:ext>
            <a:ext uri="{FF2B5EF4-FFF2-40B4-BE49-F238E27FC236}">
              <a16:creationId xmlns:a16="http://schemas.microsoft.com/office/drawing/2014/main" id="{00000000-0008-0000-0500-000001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596900</xdr:colOff>
      <xdr:row>16</xdr:row>
      <xdr:rowOff>177800</xdr:rowOff>
    </xdr:from>
    <xdr:to>
      <xdr:col>9</xdr:col>
      <xdr:colOff>177800</xdr:colOff>
      <xdr:row>18</xdr:row>
      <xdr:rowOff>152400</xdr:rowOff>
    </xdr:to>
    <xdr:sp macro="" textlink="">
      <xdr:nvSpPr>
        <xdr:cNvPr id="21506" name="CommandButton2" hidden="1">
          <a:extLst>
            <a:ext uri="{63B3BB69-23CF-44E3-9099-C40C66FF867C}">
              <a14:compatExt xmlns:a14="http://schemas.microsoft.com/office/drawing/2010/main" spid="_x0000_s21506"/>
            </a:ext>
            <a:ext uri="{FF2B5EF4-FFF2-40B4-BE49-F238E27FC236}">
              <a16:creationId xmlns:a16="http://schemas.microsoft.com/office/drawing/2014/main" id="{00000000-0008-0000-0500-000002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571500</xdr:colOff>
      <xdr:row>7</xdr:row>
      <xdr:rowOff>88900</xdr:rowOff>
    </xdr:from>
    <xdr:to>
      <xdr:col>11</xdr:col>
      <xdr:colOff>190500</xdr:colOff>
      <xdr:row>9</xdr:row>
      <xdr:rowOff>63500</xdr:rowOff>
    </xdr:to>
    <xdr:sp macro="" textlink="">
      <xdr:nvSpPr>
        <xdr:cNvPr id="21507" name="CommandButton3" hidden="1">
          <a:extLst>
            <a:ext uri="{63B3BB69-23CF-44E3-9099-C40C66FF867C}">
              <a14:compatExt xmlns:a14="http://schemas.microsoft.com/office/drawing/2010/main" spid="_x0000_s21507"/>
            </a:ext>
            <a:ext uri="{FF2B5EF4-FFF2-40B4-BE49-F238E27FC236}">
              <a16:creationId xmlns:a16="http://schemas.microsoft.com/office/drawing/2014/main" id="{00000000-0008-0000-0500-000003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101600</xdr:colOff>
      <xdr:row>4</xdr:row>
      <xdr:rowOff>139700</xdr:rowOff>
    </xdr:from>
    <xdr:to>
      <xdr:col>16</xdr:col>
      <xdr:colOff>177800</xdr:colOff>
      <xdr:row>6</xdr:row>
      <xdr:rowOff>114300</xdr:rowOff>
    </xdr:to>
    <xdr:sp macro="" textlink="">
      <xdr:nvSpPr>
        <xdr:cNvPr id="21508" name="CommandButton4" hidden="1">
          <a:extLst>
            <a:ext uri="{63B3BB69-23CF-44E3-9099-C40C66FF867C}">
              <a14:compatExt xmlns:a14="http://schemas.microsoft.com/office/drawing/2010/main" spid="_x0000_s21508"/>
            </a:ext>
            <a:ext uri="{FF2B5EF4-FFF2-40B4-BE49-F238E27FC236}">
              <a16:creationId xmlns:a16="http://schemas.microsoft.com/office/drawing/2014/main" id="{00000000-0008-0000-0500-000004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203200</xdr:colOff>
      <xdr:row>1</xdr:row>
      <xdr:rowOff>63500</xdr:rowOff>
    </xdr:from>
    <xdr:to>
      <xdr:col>10</xdr:col>
      <xdr:colOff>419100</xdr:colOff>
      <xdr:row>3</xdr:row>
      <xdr:rowOff>50800</xdr:rowOff>
    </xdr:to>
    <xdr:sp macro="" textlink="">
      <xdr:nvSpPr>
        <xdr:cNvPr id="21509" name="CommandButton5" hidden="1">
          <a:extLst>
            <a:ext uri="{63B3BB69-23CF-44E3-9099-C40C66FF867C}">
              <a14:compatExt xmlns:a14="http://schemas.microsoft.com/office/drawing/2010/main" spid="_x0000_s21509"/>
            </a:ext>
            <a:ext uri="{FF2B5EF4-FFF2-40B4-BE49-F238E27FC236}">
              <a16:creationId xmlns:a16="http://schemas.microsoft.com/office/drawing/2014/main" id="{00000000-0008-0000-0500-0000055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11</xdr:row>
      <xdr:rowOff>12700</xdr:rowOff>
    </xdr:from>
    <xdr:to>
      <xdr:col>10</xdr:col>
      <xdr:colOff>63500</xdr:colOff>
      <xdr:row>14</xdr:row>
      <xdr:rowOff>63500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A895E950-140C-258B-D19B-AEB07699694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8400" y="2108200"/>
          <a:ext cx="3086100" cy="622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596900</xdr:colOff>
      <xdr:row>16</xdr:row>
      <xdr:rowOff>177800</xdr:rowOff>
    </xdr:from>
    <xdr:to>
      <xdr:col>9</xdr:col>
      <xdr:colOff>177800</xdr:colOff>
      <xdr:row>18</xdr:row>
      <xdr:rowOff>152400</xdr:rowOff>
    </xdr:to>
    <xdr:pic>
      <xdr:nvPicPr>
        <xdr:cNvPr id="3" name="CommandButton2">
          <a:extLst>
            <a:ext uri="{FF2B5EF4-FFF2-40B4-BE49-F238E27FC236}">
              <a16:creationId xmlns:a16="http://schemas.microsoft.com/office/drawing/2014/main" id="{96B5FABB-BCDB-9B09-CB39-CA4B8A4279F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62400" y="3225800"/>
          <a:ext cx="2273300" cy="355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571500</xdr:colOff>
      <xdr:row>7</xdr:row>
      <xdr:rowOff>88900</xdr:rowOff>
    </xdr:from>
    <xdr:to>
      <xdr:col>11</xdr:col>
      <xdr:colOff>190500</xdr:colOff>
      <xdr:row>9</xdr:row>
      <xdr:rowOff>63500</xdr:rowOff>
    </xdr:to>
    <xdr:pic>
      <xdr:nvPicPr>
        <xdr:cNvPr id="4" name="CommandButton3">
          <a:extLst>
            <a:ext uri="{FF2B5EF4-FFF2-40B4-BE49-F238E27FC236}">
              <a16:creationId xmlns:a16="http://schemas.microsoft.com/office/drawing/2014/main" id="{10B63E8C-A72C-10C0-D2B1-D316A0C222D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3900" y="1422400"/>
          <a:ext cx="4330700" cy="355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101600</xdr:colOff>
      <xdr:row>4</xdr:row>
      <xdr:rowOff>139700</xdr:rowOff>
    </xdr:from>
    <xdr:to>
      <xdr:col>16</xdr:col>
      <xdr:colOff>177800</xdr:colOff>
      <xdr:row>6</xdr:row>
      <xdr:rowOff>114300</xdr:rowOff>
    </xdr:to>
    <xdr:pic>
      <xdr:nvPicPr>
        <xdr:cNvPr id="5" name="CommandButton4">
          <a:extLst>
            <a:ext uri="{FF2B5EF4-FFF2-40B4-BE49-F238E27FC236}">
              <a16:creationId xmlns:a16="http://schemas.microsoft.com/office/drawing/2014/main" id="{F0C6C241-D91C-DCB6-C088-824AF68473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901700"/>
          <a:ext cx="9499600" cy="355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203200</xdr:colOff>
      <xdr:row>1</xdr:row>
      <xdr:rowOff>63500</xdr:rowOff>
    </xdr:from>
    <xdr:to>
      <xdr:col>10</xdr:col>
      <xdr:colOff>419100</xdr:colOff>
      <xdr:row>3</xdr:row>
      <xdr:rowOff>50800</xdr:rowOff>
    </xdr:to>
    <xdr:pic>
      <xdr:nvPicPr>
        <xdr:cNvPr id="6" name="CommandButton5">
          <a:extLst>
            <a:ext uri="{FF2B5EF4-FFF2-40B4-BE49-F238E27FC236}">
              <a16:creationId xmlns:a16="http://schemas.microsoft.com/office/drawing/2014/main" id="{4F2435C0-F53B-B8F3-D482-5C2093AECA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5600" y="254000"/>
          <a:ext cx="4254500" cy="368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x" refreshedDate="45735.410843287034" createdVersion="6" refreshedVersion="8" minRefreshableVersion="3" recordCount="187" xr:uid="{F1A38FF0-4310-434F-AE77-EECB378B4862}">
  <cacheSource type="external" connectionId="1"/>
  <cacheFields count="18">
    <cacheField name="Filename" numFmtId="0">
      <sharedItems count="202">
        <s v="Plywood Birch 1/8&quot; - Laser"/>
        <s v="Acrylic Black 1/8&quot;"/>
        <s v="Acrylic Black 1/4&quot;"/>
        <s v="Acrylic White 1/8&quot;"/>
        <s v="Acrylic White 1/4&quot;"/>
        <s v="Acrylic Clear 1/16&quot;"/>
        <s v="Acrylic Clear 1/8&quot;"/>
        <s v="Acrylic Clear 1/4&quot;"/>
        <s v="Acrylic Frost 1/16&quot;"/>
        <s v="Acrylic Frost 1/8&quot;"/>
        <s v="Acrylic Frost 1/4&quot;"/>
        <s v="Plywood 3/4&quot; - Small"/>
        <s v="Plywood 1/2&quot; - Small"/>
        <s v="Spruce 2x4"/>
        <s v="Foam core white 1/8&quot;"/>
        <s v="XPS Blue 1/2&quot;"/>
        <s v="Honeycomb Board 1/2&quot;"/>
        <s v="Cardboard 5/32&quot;"/>
        <s v="Paperboard 1/16&quot;"/>
        <s v="Paperboard 1/32&quot;"/>
        <s v="Plywood 1/4&quot; - Small"/>
        <s v="MDF 1/2&quot;"/>
        <s v="Plywood Birch 1/32&quot;"/>
        <s v="PE foam White 1/2&quot;"/>
        <s v="Cardboard Double Wall 1/4&quot;"/>
        <s v="Cardboard 3/16&quot;"/>
        <s v="Foam core white 3/16&quot;"/>
        <s v="Foam core black 3/16&quot;"/>
        <s v="MDF 1/4&quot;"/>
        <s v="Spruce 2x2"/>
        <s v="Balsa sheet 1/32&quot;x6&quot;x12&quot;"/>
        <s v="Balsa sheet 1/8&quot;x6&quot;x12&quot;"/>
        <s v="Balsa sheet 1/32&quot;x3&quot;x12&quot;"/>
        <s v="Balsa sheet 1/8&quot;x3&quot;x12&quot;"/>
        <s v="Flexible plywood 13/64&quot;"/>
        <s v="Flexible plywood 5/16&quot;"/>
        <s v="Balsa block 1&quot;x1&quot;"/>
        <s v="Balsa block 2&quot;x2&quot;"/>
        <s v="Balsa block 3&quot;x3&quot;"/>
        <s v="Balsa sticks soft (specify size)"/>
        <s v="Birch dowel round (specify size)"/>
        <s v="Basswood stick square (specify size)"/>
        <s v="EPS Foam White 1/2&quot;"/>
        <s v="EPS Foam White 2&quot;"/>
        <s v="Particleboard 3/8&quot;"/>
        <s v="Particleboard 1/2&quot;"/>
        <s v="Acrylic Colored 1/8&quot;"/>
        <s v="Mat Board CIV102"/>
        <s v="Corrugated Plastic"/>
        <s v="Cardstock"/>
        <s v="Clear vinyl sheet"/>
        <s v="EVA black 1/8&quot;"/>
        <s v="EVA black 1/4&quot;"/>
        <s v="EVA black 1/2&quot;"/>
        <s v="Worbla black"/>
        <s v="PVC Pipe 1/2&quot;"/>
        <s v="PVC Pipe 3/4&quot;"/>
        <s v="PVC Pipe 1&quot;"/>
        <s v="Cardboard tube 2&quot;"/>
        <s v="Balsa sheet 1/16&quot;x6&quot;x12&quot;"/>
        <s v="Balsa sheet 1/16&quot;x3&quot;x12&quot;"/>
        <s v="Spruce 1x2"/>
        <s v="Pine board 12&quot;"/>
        <s v="Maple board 1&quot;"/>
        <s v="XPS Blue 2&quot;"/>
        <s v="Birch dowel 1/8&quot;"/>
        <s v="Birch dowel 3/16&quot;"/>
        <s v="Birch dowel 1/4&quot;"/>
        <s v="Birch dowel 5/16&quot;"/>
        <s v="Birch dowel 3/8&quot;"/>
        <s v="Birch dowel 7/16&quot;"/>
        <s v="Birch dowel 1/2&quot;"/>
        <s v="Birch dowel 5/8&quot;"/>
        <s v="Birch dowel 3/4&quot;"/>
        <s v="Birch dowel 7/8&quot;"/>
        <s v="Birch dowel 1&quot;"/>
        <s v="Birch dowel 1-1/8&quot;"/>
        <s v="Birch dowel 1-1/4&quot;"/>
        <s v="Bass stick 1/32 x 1/32&quot;"/>
        <s v="Bass stick 1/16 x 1/16&quot;"/>
        <s v="Bass stick 1/8 x 1/8&quot;"/>
        <s v="Bass stick 1/8 x 1/4&quot;"/>
        <s v="Bass stick 1/8 x 3/8&quot;"/>
        <s v="Bass stick 1/8 x 1/2&quot;"/>
        <s v="Bass stick 1/8 x 3/4&quot;"/>
        <s v="Bass stick 1/4 x 1/4&quot;"/>
        <s v="Bass stick 3/8 x 3/8&quot;"/>
        <s v="Bass stick 1/2 x 1/2&quot;"/>
        <s v="Bass stick 3/4 x 3/4&quot;"/>
        <s v="Bass stick 1 x 1&quot;"/>
        <s v="Flexible Tubing 1/8&quot; I.D., 3/16&quot; O.D."/>
        <s v="Flexible Tubing 1/4&quot; I.D. x 3/8&quot; O.D"/>
        <s v="Spruce 1x4"/>
        <s v="Flexible Tubing 1/8&quot; I.D x 1/4&quot; O.D."/>
        <s v="2525 T-Slotted Aluminium Extrusion"/>
        <s v="2550 T-Slotted Aluminium Extrusion"/>
        <s v="Plywood Birch 1/8&quot; - Small"/>
        <s v="PETG 0.5 mm"/>
        <s v="PETG 1.5 mm"/>
        <s v="PLA+ 1.75 mm "/>
        <s v="TPU 95A 1.75 mm"/>
        <s v="PETG 1.75 mm"/>
        <s v="Formlabs Standard Resin Black"/>
        <s v="Formlabs Durable Resin"/>
        <s v="Formlabs Elastic Resin"/>
        <s v="ONYX Filament"/>
        <s v="25 S 4 HOLE INSIDE GUSSET CORNER BRACKET"/>
        <s v="25 S 4MM 2 HOLE INSIDE GUSSET CORNER BRACKET"/>
        <s v="25 S 4 WIDE HOLE INSIDE GUSSET CORNER BRACKET"/>
        <s v="Ridged drop-in T-Nut M4 6mm slot"/>
        <s v="25 S SINGLE SHT UNIBEARING"/>
        <s v="25 S BLACK UNIBEARING PAD"/>
        <s v="25 Series 0 DEGREE LIVING NUB"/>
        <s v="STANDARD HINGE TAB 6 NYLON BLACK"/>
        <s v="25 S M5 x 0.8 T-NUT"/>
        <s v="25 S 0 Degree Dynamic Pivot Assembly with Dual Straight Arms"/>
        <s v="Vinyl rigid"/>
        <s v="Spruce 1x1"/>
        <s v="PVC Tee 1&quot;"/>
        <s v="PVC Elbow 90 1&quot; "/>
        <s v="PVC Tee 3/4&quot; 3/4&quot; 1/2&quot;"/>
        <s v="PVC Elbow 45 Deg 3/4&quot;"/>
        <s v="PVC Drop ear Elbow 1/2&quot;"/>
        <s v="PVC Coupler 3/4&quot; to 3/4&quot;"/>
        <s v="PVC Elbow 90 deg 3/4&quot;"/>
        <s v="PVC Coupler 1&quot; to 3/4&quot;"/>
        <s v="PVC Elbow 45 Deg 3/4&quot; Inner/Outer"/>
        <s v="PVC Elbow 45 1&quot;"/>
        <s v="PVC Cap 1&quot;"/>
        <s v="PVC Elbow 45 1/2&quot;"/>
        <s v="PVC Elbow 90 1/2&quot;"/>
        <s v="PVC Cap 1/2&quot;"/>
        <s v="PVC Tee 3/4&quot;"/>
        <s v="PVC Tee 1/2&quot;"/>
        <s v="PVC Cross 1&quot;"/>
        <s v="PVC Cross 1/2&quot;"/>
        <s v="Plywood 3/4&quot; - Medium"/>
        <s v="Plywood 3/4&quot; - Large"/>
        <s v="Plywood 1/2&quot; - Medium"/>
        <s v="Plywood 1/2&quot; - Large"/>
        <s v="Plywood Birch 1/8&quot; - Large"/>
        <s v="Plywood 1/4&quot; - Medium"/>
        <s v="Plywood 1/4&quot; - Large"/>
        <s v="Hex Flat Head Screw M5 x pitch 0.8 - 12 mm"/>
        <s v="Hex Flanged Button Head Screw M4 x pitch 0.7 - 10 mm"/>
        <s v="Hex Button Head Screw M5 x pitch 0.8 - 10 mm"/>
        <s v="PETG 0.5 mm clear (only vacuum form)"/>
        <s v="ABS haircell 1/8&quot; Small (3 mm) (only vacuum form) - Black/White"/>
        <s v="ABS haircell black 1/16&quot; Small (1.5 mm) (only vacuum form)"/>
        <s v="PETG 1.5 mm clear - small (only vacuum form)"/>
        <s v="PETG 1.5 mm clear - medium (only vacuum form) "/>
        <s v="PETG 1.5 mm clear - large (only vacuum form)"/>
        <s v="ABS haircell black 1/16&quot; Medium (1.5 mm) (only vacuum form)"/>
        <s v="ABS haircell black 1/16 Large (1.5 mm) (only vacuum form)"/>
        <s v="ABS haircell 1/8&quot; Medium (3 mm) (only vacuum form) - Black/White"/>
        <s v="ABS haircell 1/8&quot; Large (3 mm) (vacuum form) - Black/White"/>
        <s v="Plywood 1/8&quot; construction grade - Large"/>
        <s v="Plywood 1/8&quot; construction grade - Small"/>
        <s v="T-Slotted Framing Outside Corner End Bracket 1&quot; High Single Rail"/>
        <s v="Silver Corner Bracket, 2&quot; Long for 1&quot; High Rail T-Slotted Framing"/>
        <s v="Silver 30 Degree Surface Bracket for 1&quot; High Single Rail"/>
        <s v="Silver Surface Bracket, 4&quot; Long for 1&quot; High Single Rail"/>
        <s v="Silver 60 Degree Surface Bracket for 1&quot; High Single Rail"/>
        <s v="Silver Corner Surface Bracket for 1&quot; High Single Rail"/>
        <s v="Inline Pivot for 1&quot; Single Rail"/>
        <s v="End-Feed Double Nut, Flanged-Button Head 1/4&quot;-20 Thread (Pack of 4 pieces)"/>
        <s v="End-Feed Triple Nut, 1/4&quot;-20 Thread Size (Pack of 4 pieces)"/>
        <s v="End-Feed Nut with Flanged-Button Head, 1/4&quot;-20 Thread Size (Pack of 4 pieces)"/>
        <s v="Perpendicular Pivot for 1&quot; Single Rail"/>
        <s v="Silver Tee Surface Bracket for 1&quot; High Single Rail"/>
        <s v="Concealed Bracket for 1-1/2&quot;&amp;40 mm High Single Rail"/>
        <s v="Silver Straight Surface Bracket, 2&quot; Long for 1&quot; High Rail"/>
        <s v="Corner Concealed Bracket for 1&quot; High Single Rail"/>
        <s v="Roller Wheel for 1&quot; High Single Rail"/>
        <s v="T-Slotted Framing Drop-in Nut with Stud, 1/4&quot;-20 Thread Size"/>
        <s v="Silver 45 Degree Surface Bracket for 1&quot; High Single Rail"/>
        <s v="Locking Pivot for 1&quot; High Single Rail"/>
        <s v="Silver Corner Bracket, 1&quot; Long for 1&quot; High Rail T-Slotted Framing"/>
        <s v="3-Way Outside Corner End Bracket 1&quot; High Rail"/>
        <s v="Paracord 4 mm"/>
        <s v="Lite Inside Corner Bracket "/>
        <s v="5 HOLE &quot;L&quot; FLAT PLATE"/>
        <s v="4 HOLE JOINING STRIP"/>
        <s v="Plywood Birch 1/8&quot; - Medium" u="1"/>
        <s v="delete" u="1"/>
        <s v="Birch Ply 1/8&quot;" u="1"/>
        <s v="MDF 1/8&quot;" u="1"/>
        <s v="Plywood 3/4&quot;" u="1"/>
        <s v="Plywood 1/2&quot;" u="1"/>
        <s v="Plywood 1/4&quot;" u="1"/>
        <s v="Birch ply 1/32&quot;" u="1"/>
        <s v="Plywood 1/8&quot;" u="1"/>
        <s v="Method X SR-30" u="1"/>
        <s v="Method X PC-ABS FR " u="1"/>
        <s v="Method X ASA" u="1"/>
        <s v="Flexible Tubing ID 3mm, OD 6mm" u="1"/>
        <s v="Balsa sheet 1/16&quot;" u="1"/>
        <s v="Birch ply 1/4&quot;" u="1"/>
        <s v="Birch Ply 3/4&quot;" u="1"/>
        <s v="Birch Ply 1/2&quot;" u="1"/>
        <s v="Balsa sheet 1/8&quot;" u="1"/>
        <s v="Balsa sheet 1/32&quot;&quot;" u="1"/>
      </sharedItems>
    </cacheField>
    <cacheField name="Subcategory" numFmtId="0">
      <sharedItems containsBlank="1" count="24">
        <s v="Plywood"/>
        <s v="Acrylic"/>
        <s v="Spruce"/>
        <s v="Foam"/>
        <s v="Cardboard"/>
        <s v="MDF"/>
        <s v="Balsa sheet"/>
        <s v="Flex plywood"/>
        <s v="Balsa Block"/>
        <s v="Sticks"/>
        <s v="Dowel"/>
        <s v="Board"/>
        <s v="Corrugated Plastic"/>
        <s v="Vinyl "/>
        <s v="Worbla A Black"/>
        <s v="PVC Pipe"/>
        <s v="Tubing"/>
        <s v="Aluminium Extrusion"/>
        <s v="PETG"/>
        <s v="3D Printing "/>
        <s v="Vacuum former"/>
        <m/>
        <s v="Birch Ply" u="1"/>
        <s v="EVA" u="1"/>
      </sharedItems>
    </cacheField>
    <cacheField name="Raw Cost" numFmtId="0">
      <sharedItems containsString="0" containsBlank="1" containsNumber="1" minValue="0" maxValue="40.06"/>
    </cacheField>
    <cacheField name="Image" numFmtId="0">
      <sharedItems containsBlank="1" longText="1"/>
    </cacheField>
    <cacheField name="UnitSize" numFmtId="0">
      <sharedItems count="24">
        <s v="18&quot;x24&quot;"/>
        <s v="12&quot;x12&quot;"/>
        <s v="12&quot;"/>
        <s v="20&quot;x30&quot;"/>
        <s v="24&quot;x48&quot;"/>
        <s v="30&quot;x40&quot;"/>
        <s v="30&quot;x20&quot;"/>
        <s v="6&quot;x12&quot;"/>
        <s v="3&quot;x12&quot;"/>
        <s v="1 unit"/>
        <s v="8.5x11&quot;"/>
        <s v="36&quot;"/>
        <s v="20 cm"/>
        <s v="gram"/>
        <s v="mL"/>
        <s v="12&quot;x24&quot;"/>
        <s v="24&quot;x24&quot;"/>
        <s v="8&quot;x8&quot;"/>
        <s v="15&quot;x15&quot;"/>
        <s v="19.5&quot;x24&quot;"/>
        <s v="20&quot;x20&quot;"/>
        <s v="24&quot;" u="1"/>
        <s v="6&quot;x24&quot;" u="1"/>
        <s v="18&quot;" u="1"/>
      </sharedItems>
    </cacheField>
    <cacheField name="IDMaterials" numFmtId="0">
      <sharedItems containsBlank="1" count="192">
        <s v="3 MATERIALS"/>
        <s v="13 MATERIALS"/>
        <s v="14 MATERIALS"/>
        <s v="16 MATERIALS"/>
        <s v="17 MATERIALS"/>
        <s v="18 MATERIALS"/>
        <s v="19 MATERIALS"/>
        <s v="20 MATERIALS"/>
        <s v="21 MATERIALS"/>
        <s v="22 MATERIALS"/>
        <s v="23 MATERIALS"/>
        <s v="28 MATERIALS"/>
        <s v="29 MATERIALS"/>
        <s v="30 MATERIALS"/>
        <s v="31 MATERIALS"/>
        <s v="32 MATERIALS"/>
        <s v="33 MATERIALS"/>
        <s v="34 MATERIALS"/>
        <s v="35 MATERIALS"/>
        <s v="36 MATERIALS"/>
        <s v="46 MATERIALS"/>
        <s v="47 MATERIALS"/>
        <s v="51 MATERIALS"/>
        <s v="52 MATERIALS"/>
        <s v="53 MATERIALS"/>
        <s v="54 MATERIALS"/>
        <s v="55 MATERIALS"/>
        <s v="56 MATERIALS"/>
        <s v="57 MATERIALS"/>
        <s v="58 MATERIALS"/>
        <s v="59 MATERIALS"/>
        <s v="60 MATERIALS"/>
        <s v="62 MATERIALS"/>
        <s v="63 MATERIALS"/>
        <s v="64 MATERIALS"/>
        <s v="65 MATERIALS"/>
        <s v="66 MATERIALS"/>
        <s v="67 MATERIALS"/>
        <s v="68 MATERIALS"/>
        <s v="69 MATERIALS"/>
        <s v="70 MATERIALS"/>
        <s v="78 MATERIALS"/>
        <s v="83 MATERIALS"/>
        <s v="84 MATERIALS"/>
        <s v="85 MATERIALS"/>
        <s v="86 MATERIALS"/>
        <s v="87 MATERIALS"/>
        <s v="88 MATERIALS"/>
        <s v="89 MATERIALS"/>
        <s v="90 MATERIALS"/>
        <s v="91 MATERIALS"/>
        <s v="92 MATERIALS"/>
        <s v="93 MATERIALS"/>
        <s v="94 MATERIALS"/>
        <s v="95 MATERIALS"/>
        <s v="96 MATERIALS"/>
        <s v="97 MATERIALS"/>
        <s v="98 MATERIALS"/>
        <s v="99 MATERIALS"/>
        <s v="100 MATERIALS"/>
        <s v="101 MATERIALS"/>
        <s v="102 MATERIALS"/>
        <s v="103 MATERIALS"/>
        <s v="104 MATERIALS"/>
        <s v="105 MATERIALS"/>
        <s v="111 MATERIALS"/>
        <s v="112 MATERIALS"/>
        <s v="113 MATERIALS"/>
        <s v="114 MATERIALS"/>
        <s v="115 MATERIALS"/>
        <s v="116 MATERIALS"/>
        <s v="117 MATERIALS"/>
        <s v="118 MATERIALS"/>
        <s v="119 MATERIALS"/>
        <s v="120 MATERIALS"/>
        <s v="121 MATERIALS"/>
        <s v="122 MATERIALS"/>
        <s v="123 MATERIALS"/>
        <s v="124 MATERIALS"/>
        <s v="125 MATERIALS"/>
        <s v="126 MATERIALS"/>
        <s v="127 MATERIALS"/>
        <s v="128 MATERIALS"/>
        <s v="129 MATERIALS"/>
        <s v="130 MATERIALS"/>
        <s v="131 MATERIALS"/>
        <s v="132 MATERIALS"/>
        <s v="133 MATERIALS"/>
        <s v="134 MATERIALS"/>
        <s v="135 MATERIALS"/>
        <s v="136 MATERIALS"/>
        <s v="137 MATERIALS"/>
        <s v="138 MATERIALS"/>
        <s v="139 MATERIALS"/>
        <s v="140 MATERIALS"/>
        <s v="141 MATERIALS"/>
        <s v="142 MATERIALS"/>
        <s v="143 MATERIALS"/>
        <s v="144 MATERIALS"/>
        <s v="145 MATERIALS"/>
        <s v="146 MATERIALS"/>
        <s v="147 MATERIALS"/>
        <s v="148 MATERIALS"/>
        <s v="149 MATERIALS"/>
        <s v="150 MATERIALS"/>
        <s v="151 MATERIALS"/>
        <s v="155 MATERIALS"/>
        <s v="156 MATERIALS"/>
        <s v="157 MATERIALS"/>
        <s v="158 MATERIALS"/>
        <s v="159 MATERIALS"/>
        <s v="160 MATERIALS"/>
        <s v="161 MATERIALS"/>
        <s v="162 MATERIALS"/>
        <s v="163 MATERIALS"/>
        <s v="164 MATERIALS"/>
        <s v="165 MATERIALS"/>
        <s v="166 MATERIALS"/>
        <s v="167 MATERIALS"/>
        <s v="168 MATERIALS"/>
        <s v="169 MATERIALS"/>
        <s v="170 MATERIALS"/>
        <s v="171 MATERIALS"/>
        <s v="172 MATERIALS"/>
        <s v="173 MATERIALS"/>
        <s v="174 MATERIALS"/>
        <s v="175 MATERIALS"/>
        <s v="176 MATERIALS"/>
        <s v="177 MATERIALS"/>
        <s v="178 MATERIALS"/>
        <s v="179 MATERIALS"/>
        <s v="180 MATERIALS"/>
        <s v="181 MATERIALS"/>
        <s v="182 MATERIALS"/>
        <s v="183 MATERIALS"/>
        <s v="184 MATERIALS"/>
        <s v="185 MATERIALS"/>
        <s v="186 MATERIALS"/>
        <s v="188 MATERIALS"/>
        <s v="189 MATERIALS"/>
        <s v="190 MATERIALS"/>
        <s v="191 MATERIALS"/>
        <s v="192 MATERIALS"/>
        <s v="193 MATERIALS"/>
        <s v="194 MATERIALS"/>
        <s v="195 MATERIALS"/>
        <s v="196 MATERIALS"/>
        <s v="197 MATERIALS"/>
        <s v="198 MATERIALS"/>
        <s v="199 MATERIALS"/>
        <s v="200 MATERIALS"/>
        <s v="201 MATERIALS"/>
        <s v="202 MATERIALS"/>
        <s v="203 MATERIALS"/>
        <s v="204 MATERIALS"/>
        <s v="205 MATERIALS"/>
        <s v="206 MATERIALS"/>
        <s v="207 MATERIALS"/>
        <s v="208 MATERIALS"/>
        <s v="209 MATERIALS"/>
        <s v="210 MATERIALS"/>
        <s v="211 MATERIALS"/>
        <s v="212 MATERIALS"/>
        <s v="213 MATERIALS"/>
        <s v="214 MATERIALS"/>
        <s v="215 MATERIALS"/>
        <s v="216 MATERIALS"/>
        <s v="217 MATERIALS"/>
        <s v="218 MATERIALS"/>
        <s v="219 MATERIALS"/>
        <s v="220 MATERIALS"/>
        <s v="221 MATERIALS"/>
        <s v="222 MATERIALS"/>
        <s v="223 MATERIALS"/>
        <s v="224 MATERIALS"/>
        <s v="225 MATERIALS"/>
        <s v="226 MATERIALS"/>
        <s v="227 MATERIALS"/>
        <s v="228 MATERIALS"/>
        <s v="229 MATERIALS"/>
        <s v="230 MATERIALS"/>
        <s v="231 MATERIALS"/>
        <s v="232 MATERIALS"/>
        <s v="233 MATERIALS"/>
        <s v="234 MATERIALS"/>
        <s v="235 MATERIALS"/>
        <s v="236 MATERIALS"/>
        <m u="1"/>
        <s v="9 MATERIALS" u="1"/>
        <s v="152 MATERIALS" u="1"/>
        <s v="153 MATERIALS" u="1"/>
        <s v="154 MATERIALS" u="1"/>
      </sharedItems>
    </cacheField>
    <cacheField name="Stock" numFmtId="0">
      <sharedItems containsString="0" containsBlank="1" containsNumber="1" containsInteger="1" minValue="1" maxValue="1000" count="11">
        <m/>
        <n v="50"/>
        <n v="340"/>
        <n v="80"/>
        <n v="3"/>
        <n v="2"/>
        <n v="1"/>
        <n v="4"/>
        <n v="15"/>
        <n v="1000"/>
        <n v="30"/>
      </sharedItems>
    </cacheField>
    <cacheField name="LaserCompatible" numFmtId="0">
      <sharedItems count="2">
        <b v="1"/>
        <b v="0"/>
      </sharedItems>
    </cacheField>
    <cacheField name="OutOfStock2" numFmtId="0">
      <sharedItems containsBlank="1" count="4">
        <s v="-"/>
        <s v="Out of Stock"/>
        <m/>
        <s v="Low Stock"/>
      </sharedItems>
    </cacheField>
    <cacheField name="Terms" numFmtId="0">
      <sharedItems count="2">
        <s v="Final Sale"/>
        <s v="Rental"/>
      </sharedItems>
    </cacheField>
    <cacheField name="Cost" numFmtId="0">
      <sharedItems containsSemiMixedTypes="0" containsString="0" containsNumber="1" minValue="0" maxValue="31.66" count="137">
        <n v="8.52"/>
        <n v="15.76"/>
        <n v="31.52"/>
        <n v="7.74"/>
        <n v="14.18"/>
        <n v="31.66"/>
        <n v="12.89"/>
        <n v="3.05"/>
        <n v="1.97"/>
        <n v="0.54"/>
        <n v="7.54"/>
        <n v="0.87"/>
        <n v="2.52"/>
        <n v="1.92"/>
        <n v="2.2799999999999998"/>
        <n v="0.51"/>
        <n v="1.22"/>
        <n v="1.04"/>
        <n v="13.3"/>
        <n v="3.23"/>
        <n v="4.71"/>
        <n v="3.62"/>
        <n v="4.7300000000000004"/>
        <n v="3.52"/>
        <n v="0.64"/>
        <n v="1.07"/>
        <n v="1.29"/>
        <n v="0.38"/>
        <n v="0.56000000000000005"/>
        <n v="1.26"/>
        <n v="1.63"/>
        <n v="1.81"/>
        <n v="5.29"/>
        <n v="11.91"/>
        <n v="0"/>
        <n v="3.73"/>
        <n v="15.47"/>
        <n v="0.9"/>
        <n v="19.34"/>
        <n v="7.5"/>
        <n v="0.12"/>
        <n v="2.15"/>
        <n v="2.6"/>
        <n v="3.58"/>
        <n v="7.88"/>
        <n v="0.81"/>
        <n v="0.96"/>
        <n v="1.18"/>
        <n v="1.0900000000000001"/>
        <n v="0.27"/>
        <n v="10.029999999999999"/>
        <n v="2.5299999999999998"/>
        <n v="0.11"/>
        <n v="0.16"/>
        <n v="0.18"/>
        <n v="0.22"/>
        <n v="0.28000000000000003"/>
        <n v="0.48"/>
        <n v="0.67"/>
        <n v="1.1100000000000001"/>
        <n v="0.45"/>
        <n v="2.56"/>
        <n v="3.12"/>
        <n v="0.08"/>
        <n v="0.1"/>
        <n v="0.17"/>
        <n v="0.26"/>
        <n v="0.34"/>
        <n v="0.42"/>
        <n v="0.43"/>
        <n v="0.61"/>
        <n v="0.72"/>
        <n v="0.99"/>
        <n v="1.01"/>
        <n v="0.7"/>
        <n v="0.89400000000000002"/>
        <n v="1.4419999999999999"/>
        <n v="2.84"/>
        <n v="3.66"/>
        <n v="12.42"/>
        <n v="0.03"/>
        <n v="0.04"/>
        <n v="0.35"/>
        <n v="2.504"/>
        <n v="1.746"/>
        <n v="0.29399999999999998"/>
        <n v="5.8079999999999998"/>
        <n v="0.89200000000000002"/>
        <n v="2.036"/>
        <n v="1.9219999999999999"/>
        <n v="8.0120000000000005"/>
        <n v="1.3"/>
        <n v="4.96"/>
        <n v="4.09"/>
        <n v="2.85"/>
        <n v="2.4700000000000002"/>
        <n v="1.98"/>
        <n v="3.72"/>
        <n v="4.21"/>
        <n v="2.1"/>
        <n v="1.73"/>
        <n v="1.23"/>
        <n v="5.95"/>
        <n v="6.1"/>
        <n v="12.2"/>
        <n v="3.94"/>
        <n v="5.68"/>
        <n v="11.36"/>
        <n v="2.44"/>
        <n v="4.88"/>
        <n v="5.1999999999999998E-2"/>
        <n v="0.05"/>
        <n v="1.8"/>
        <n v="0.89"/>
        <n v="1.85"/>
        <n v="6.52"/>
        <n v="13.57"/>
        <n v="3.38"/>
        <n v="3.15"/>
        <n v="6.55"/>
        <n v="6.3"/>
        <n v="13.1"/>
        <n v="1.698"/>
        <n v="2.452"/>
        <n v="1.3580000000000001"/>
        <n v="3.1339999999999999"/>
        <n v="2.3159999999999998"/>
        <n v="0.91200000000000003" u="1"/>
        <n v="1.4159999999999999" u="1"/>
        <n v="0.25" u="1"/>
        <n v="3.74" u="1"/>
        <n v="0.56999999999999995" u="1"/>
        <n v="0.79" u="1"/>
        <n v="0.46" u="1"/>
        <n v="0.23" u="1"/>
        <n v="0.2" u="1"/>
        <n v="2.61" u="1"/>
      </sharedItems>
    </cacheField>
    <cacheField name="3D printing" numFmtId="0">
      <sharedItems containsBlank="1" count="6">
        <s v="Not Compatible"/>
        <s v="PRUSA;#DREMEL"/>
        <s v="PRUSA"/>
        <s v="Form2"/>
        <s v="ONYX"/>
        <m/>
      </sharedItems>
    </cacheField>
    <cacheField name="Nominal Specs" numFmtId="0">
      <sharedItems containsBlank="1" count="4">
        <m/>
        <s v="https://store.cpiautomation.com/fasteners-and-hardware/25-4136-25-series-4-hole-tall-gusseted-inside-corner-bracket/"/>
        <s v="0.3 mm"/>
        <s v="4 mm 550lbs"/>
      </sharedItems>
    </cacheField>
    <cacheField name="Actual Specs and Tolerances" numFmtId="0">
      <sharedItems containsBlank="1" count="2">
        <m/>
        <s v="0.3 mm"/>
      </sharedItems>
    </cacheField>
    <cacheField name="Rental" numFmtId="0">
      <sharedItems containsBlank="1" count="3">
        <s v="Final Sale"/>
        <s v="Rental"/>
        <m/>
      </sharedItems>
    </cacheField>
    <cacheField name="VacuumFormerCompatible" numFmtId="0">
      <sharedItems containsBlank="1" count="3">
        <m/>
        <b v="1"/>
        <b v="0"/>
      </sharedItems>
    </cacheField>
    <cacheField name="Path" numFmtId="0">
      <sharedItems count="1">
        <s v="sites/fase-myhalfabrication/Lists/Consumables  list"/>
      </sharedItems>
    </cacheField>
    <cacheField name="Item Type" numFmtId="0">
      <sharedItems count="1">
        <s v="Item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x" refreshedDate="45735.410851967594" createdVersion="6" refreshedVersion="8" minRefreshableVersion="3" recordCount="124" xr:uid="{8830C08C-E665-47FF-BDF0-136E2ED0581A}">
  <cacheSource type="external" connectionId="4"/>
  <cacheFields count="19">
    <cacheField name="Filename" numFmtId="0">
      <sharedItems count="148">
        <s v="Bearing Balls 1/8&quot;"/>
        <s v="Bearing Balls 3/16&quot;"/>
        <s v="Bearing Balls 5/32&quot;"/>
        <s v="Bearing Balls 7/32&quot;"/>
        <s v="Bearing Balls 1/4&quot;"/>
        <s v="Mini Ball Bearings"/>
        <s v="Threaded rod 1/4 20"/>
        <s v="ESC204 Workshop Rover W/Consumables"/>
        <s v="ESC204 Workshop Consumables Only"/>
        <s v="MSE398 tensile tester Kit"/>
        <s v="M3 pitch 0.50- 5mm"/>
        <s v="M3 pitch 0.50- 6mm"/>
        <s v="M3 pitch 0.50- 8mm"/>
        <s v="M3 pitch 0.50- 10mm"/>
        <s v="M3 pitch 0.50- 12mm"/>
        <s v="M3 pitch 0.50- 20mm"/>
        <s v="M3 pitch 0.50- 25mm"/>
        <s v="M3 pitch 0.50- 35mm"/>
        <s v="M3 pitch 0.50- 40mm"/>
        <s v="M4 pitch 0.70- 35mm"/>
        <s v="M5 pitch 0.80- 35mm"/>
        <s v="Hex nut M3 pitch 0.5"/>
        <s v="Hex nut M5 pitch 0.80"/>
        <s v="Hex nut M4 pitch 0.70"/>
        <s v="#6 x 1/2&quot; Flat Head"/>
        <s v="#6 x 1/2&quot; Round Head "/>
        <s v="#6 x 1&quot; Flat Head"/>
        <s v="#6 x 1 1/2&quot; Flat Head"/>
        <s v="#6 x 2&quot; Flat Head"/>
        <s v="#8 x 1&quot; Flat Head"/>
        <s v="#8 x 1 1/2&quot; Flat Head"/>
        <s v="#8 x 4&quot; Flat Head"/>
        <s v="#12 x 3/4&quot; Flat Head"/>
        <s v="#12 x 1&quot; Flat Head"/>
        <s v="#12 x 1 1/2&quot; Flat Head"/>
        <s v="#12 x 4&quot; Flat Head"/>
        <s v="#6 x 3/4&quot; Flat Head"/>
        <s v="6-32 x 1/4&quot; Round Head"/>
        <s v="6-32 x 1/2&quot; Round Head"/>
        <s v="6-32 x 3/4&quot; Round Head"/>
        <s v="6-32 x 1&quot; Round Head"/>
        <s v="8-32 x 1/2&quot; Round Head"/>
        <s v="8-32 x 3/4&quot; Round Head"/>
        <s v="8-32 x 1 1/4&quot; Round Head"/>
        <s v="8-32 x 1 1/2&quot; Round Head"/>
        <s v="M3 Washers"/>
        <s v="10-32 x 1/2&quot; Round Head"/>
        <s v="10-32 x 3/4&quot; Round Head"/>
        <s v="10-32 x 1&quot; Round Head"/>
        <s v="10-32 x 1 1/4&quot; Round Head"/>
        <s v="Perforated Hanger Strap"/>
        <s v="Hex Nut 6-32"/>
        <s v="10-32 Hex Nut "/>
        <s v="1/4-20 x 3/4&quot; Hex Bolt "/>
        <s v="1/4-20 x 2&quot; Hex Bolt "/>
        <s v="3/8-16 x 2&quot; Hex Bolt "/>
        <s v="3/8-16 x 3&quot; Hex Bolt "/>
        <s v="3/8-16 x 4&quot; Hex Bolt "/>
        <s v="3/8-16 x 5&quot; Hex Bolt "/>
        <s v="10-24 x 1/2&quot; Round Head"/>
        <s v="10-24 x 1 1/4&quot; Round Head"/>
        <s v="1/4-20 x 1/2&quot; Round Head"/>
        <s v="1/4-20 x 3/4&quot; Round Head"/>
        <s v="1/4-20 x 1&quot; Round Head"/>
        <s v="1/4-20 x 1 1/2&quot; Round Head"/>
        <s v="1/4-20 x 3&quot; Round Head"/>
        <s v="Spiral Deck Nails"/>
        <s v="3/16 x 2 1/4&quot; Tapper Screws"/>
        <s v="1 3/4&quot; Deck Screw"/>
        <s v="1&quot; Self Tapping Flat Head"/>
        <s v="Roofing Nails"/>
        <s v="10-24 Hex Nut"/>
        <s v="Hex Nut 1/4-20 "/>
        <s v="3/8-16 Hex Nut"/>
        <s v="1/4-20 Washer"/>
        <s v="1/4-20 Split Washer"/>
        <s v="3/8-16 Washer"/>
        <s v="3/8-16 Split Washer"/>
        <s v="1/4 Rivets"/>
        <s v="3/32 Rivets"/>
        <s v="1/8 Rivets"/>
        <s v="5/32 Rivets"/>
        <s v="3/16 Rivets"/>
        <s v="M1.6"/>
        <s v="M1.6 Hex Nut"/>
        <s v="M3 Flat Head Socket Head"/>
        <s v="#8 x 3&quot; Flat Head"/>
        <s v="8-32 Hex Nut"/>
        <s v="M3 Locknut"/>
        <s v="M3 x 5 mm Socket"/>
        <s v="M3 split washer"/>
        <s v="ESC204 Lab 1 kit"/>
        <s v="ESC204 Lab2 kit"/>
        <s v="ESC204 Lab 3A kit (MECH) (x41)"/>
        <s v="ESC204 Lab 3B kit (IoT) (x41)"/>
        <s v="Caster ball 1&quot; "/>
        <s v="Caster ball 1/2&quot;"/>
        <s v="#8 x 1/2&quot; Flat Head"/>
        <s v="#6 washer"/>
        <s v="#8 washer"/>
        <s v="ESP I - Measuring tape 30m"/>
        <s v="ESP I - Measuring wheel"/>
        <s v="Pipe strap 3/4&quot;"/>
        <s v="Hinges 18 and 24 mm"/>
        <s v="Threaded inserts M3"/>
        <s v="Toggle Clamp Latch (double screw)"/>
        <s v="Toggle Clamp Latch (single screw)"/>
        <s v="#8 x 1 1/4&quot; Flat Head"/>
        <s v="#8 x 2&quot; Flat Head"/>
        <s v="#8 x 2 1/2&quot; Flat Head"/>
        <s v="M6 pitch 1.00-18mm"/>
        <s v="M6 pitch 1.00- 25mm"/>
        <s v="1/4-20 x 3&quot; Hex Bolt"/>
        <s v="6-32 x 1/4&quot; Oval Head"/>
        <s v="6-32 x 1/2&quot; Oval Head"/>
        <s v="6-32 x 3/4&quot; Oval Head"/>
        <s v="10-32 x 3/4&quot; Oval Head"/>
        <s v="10-32 x 1/2&quot; Oval Head"/>
        <s v="8-32 x 3/4&quot; Oval Head"/>
        <s v="M3 pitch 0.50- 16 mm"/>
        <s v="M3 pitch 0.50 x 30mm"/>
        <s v="M4 pitch 0.70 x 25mm"/>
        <s v="Neodymium Magnet"/>
        <s v="Hex Nut M6 x pitch 1 mm"/>
        <s v="Ball Bearing (8mm ID x 12mm OD, 4mm Thickness) - 2 Pack" u="1"/>
        <s v="4&quot; Square Ball Bearing Turntable" u="1"/>
        <s v="Linear Ball Bearings 8mm ID x 24mm Length " u="1"/>
        <s v="Linear Ball Bearing (5mm ID x 12mm OD, 4mm Thickness)" u="1"/>
        <s v="M3 inserts" u="1"/>
        <s v="M3*5 socket" u="1"/>
        <s v="8mm ID x 24mm Length Linear Ball Bearings" u="1"/>
        <s v="6 x 1&quot; Flat Head" u="1"/>
        <s v="6 x 2&quot; Flat Head" u="1"/>
        <s v="1/4-20 x 1 1/4&quot; Round Head" u="1"/>
        <s v="Ball Bearing (5mm ID x 12mm OD, 4mm Thickness)" u="1"/>
        <s v="6 x 1/2&quot; Flat Head" u="1"/>
        <s v="6 x 3/4&quot; Flat Head" u="1"/>
        <s v="12 x 1&quot; Flat Head" u="1"/>
        <s v="12 x 4&quot; Flat Head" u="1"/>
        <s v=" 8 x 1/2&quot; Flat Head" u="1"/>
        <s v="12 x 1 1/2&quot; Flat Head" u="1"/>
        <s v="12 x 3/4&quot; Flat Head" u="1"/>
        <s v="8 x 1 1/2&quot; Flat Head" u="1"/>
        <s v="6 x 1/2&quot; Round Head " u="1"/>
        <s v="6 x 1 1/2&quot; Flat Head" u="1"/>
        <s v="8 x 1&quot; Flat Head" u="1"/>
        <s v="8 x 3&quot; Flat Head" u="1"/>
        <s v="8 x 4&quot; Flat Head" u="1"/>
      </sharedItems>
    </cacheField>
    <cacheField name="Cost" numFmtId="0">
      <sharedItems containsString="0" containsBlank="1" containsNumber="1" minValue="0" maxValue="100" count="65">
        <n v="0.05"/>
        <n v="1.2"/>
        <n v="2.67"/>
        <n v="99.2"/>
        <n v="13.79"/>
        <n v="100"/>
        <n v="0.09"/>
        <n v="0.12"/>
        <n v="0.11"/>
        <n v="7.0000000000000007E-2"/>
        <n v="0.15"/>
        <n v="0.14000000000000001"/>
        <n v="0.25"/>
        <n v="0.31"/>
        <n v="0.35"/>
        <n v="0.08"/>
        <n v="0.06"/>
        <n v="0.1"/>
        <n v="0.23"/>
        <n v="0.28999999999999998"/>
        <n v="0.22"/>
        <n v="0.19"/>
        <n v="0.21"/>
        <n v="0.75"/>
        <n v="0.13"/>
        <n v="0.16"/>
        <n v="0.18"/>
        <n v="1.48"/>
        <n v="0.04"/>
        <n v="0.17"/>
        <n v="0.46"/>
        <n v="0.93"/>
        <n v="1.38"/>
        <n v="2.06"/>
        <n v="3.03"/>
        <n v="1.9"/>
        <n v="0.02"/>
        <n v="0.57999999999999996"/>
        <m/>
        <n v="0.03"/>
        <n v="0.36"/>
        <n v="0.54"/>
        <n v="9.42"/>
        <n v="23.87"/>
        <n v="16.54"/>
        <n v="9.73"/>
        <n v="4.4000000000000004"/>
        <n v="2.2799999999999998"/>
        <n v="99.99"/>
        <n v="0.27"/>
        <n v="6.18"/>
        <n v="7.45"/>
        <n v="0.2"/>
        <n v="0.82"/>
        <n v="16.61" u="1"/>
        <n v="4.97" u="1"/>
        <n v="9.1999999999999993" u="1"/>
        <n v="3.74" u="1"/>
        <n v="2.84" u="1"/>
        <n v="0" u="1"/>
        <n v="99.22" u="1"/>
        <n v="5.68" u="1"/>
        <n v="0.33" u="1"/>
        <n v="7.47" u="1"/>
        <n v="0.24" u="1"/>
      </sharedItems>
    </cacheField>
    <cacheField name="Reorder Link" numFmtId="0">
      <sharedItems containsBlank="1" count="23">
        <s v="https://www.amazon.ca/gp/product/B018B7D05K/ref=ppx_yo_dt_b_asin_title_o06_s00?ie=UTF8&amp;psc=1_x000a_Amazon"/>
        <s v="https://www.amazon.ca/gp/product/B07CVBW44R/ref=ppx_yo_dt_b_asin_title_o06_s00?ie=UTF8&amp;psc=1_x000a_Amazon"/>
        <m/>
        <s v="https://spaenaur.com/_x000a_https://spaenaur.com/"/>
        <s v="https://www.mcmaster.com/_x000a_https://www.mcmaster.com/"/>
        <s v="https://www.mcmaster.com/catalog/128/3309_x000a_https://www.mcmaster.com/catalog/128/3309"/>
        <s v="https://www.mcmaster.com/catalog/128/3353_x000a_https://www.mcmaster.com/catalog/128/3353"/>
        <s v="https://www.mcmaster.com/catalog/128/3500_x000a_https://www.mcmaster.com/catalog/128/3500"/>
        <s v="https://www.mcmaster.com/catalog/128/3273_x000a_https://www.mcmaster.com/catalog/128/3273"/>
        <s v="https://www.mcmaster.com/catalog/128/3498_x000a_https://www.mcmaster.com/catalog/128/3498"/>
        <s v="https://www.mcmaster.com/catalog/128/3534_x000a_https://www.mcmaster.com/catalog/128/3534"/>
        <s v="https://www.mcmaster.com/spacer-washers/for-screw-size~m3/material~steel/_x000a_https://www.mcmaster.com/spacer-washers/for-screw-size~m3/material~steel/"/>
        <s v="https://www.amazon.ca/gp/product/B09N94GRCN/ref=ppx_yo_dt_b_asin_title_o00_s00?ie=UTF8&amp;th=1_x000a_https://www.amazon.ca/gp/product/B09N94GRCN/ref=ppx_yo_dt_b_asin_title_o00_s00?ie=UTF8&amp;th=1"/>
        <s v="https://www.amazon.ca/YUPVM-Knurled-Threaded-Resistant-Embedment/dp/B09BCRJ64R/_x000a_https://www.amazon.ca/YUPVM-Knurled-Threaded-Resistant-Embedment/dp/B09BCRJ64R/"/>
        <s v="https://www.amazon.ca/dp/B08GQ84KB3?ref=ppx_yo2ov_dt_b_product_details&amp;th=1_x000a_https://www.amazon.ca/dp/B08GQ84KB3?ref=ppx_yo2ov_dt_b_product_details&amp;th=1"/>
        <s v="https://www.amazon.ca/dp/B06Y58GGFQ?ref=ppx_yo2ov_dt_b_product_details&amp;th=1_x000a_https://www.amazon.ca/dp/B06Y58GGFQ?ref=ppx_yo2ov_dt_b_product_details&amp;th=1"/>
        <s v="https://www.fastenal.com/product/details/13015_x000a_Fastenal 12015"/>
        <s v="https://www.mcmaster.com/catalog/130/3487/91802A151_x000a_https://www.mcmaster.com/catalog/130/3487/91802A151"/>
        <s v="https://www.mcmaster.com/catalog/130/3487/91802A831_x000a_https://www.mcmaster.com/catalog/130/3487/91802A831"/>
        <s v="https://www.mcmaster.com/catalog/130/3487/91802A829_x000a_https://www.mcmaster.com/catalog/130/3487/91802A829"/>
        <s v="https://www.mcmaster.com/catalog/130/3487/91802A197_x000a_https://www.mcmaster.com/catalog/130/3487/91802A197"/>
        <s v="https://spaenaur.cld.bz/Spaenaur-Catalog-141/B58/_x000a_https://spaenaur.cld.bz/Spaenaur-Catalog-141/B58/"/>
        <s v="https://www.mcmaster.com/90591A151/_x000a_https://www.mcmaster.com/92125A210/"/>
      </sharedItems>
    </cacheField>
    <cacheField name="Specs" numFmtId="0">
      <sharedItems containsBlank="1" count="84">
        <s v="1/8&quot; - Chrome Steel"/>
        <s v="3/16&quot; - Chrome Steel"/>
        <s v="5/32&quot; - Chrome Steel"/>
        <s v="7/32&quot; - Chrome Steel"/>
        <s v="1/4&quot; - Chrome Steel"/>
        <s v="5 mm x 11 mm x 4 mm"/>
        <s v="1/4-20 Threaded rod 1 foot"/>
        <m/>
        <s v="2020-2021"/>
        <s v="5mm"/>
        <s v="6 mm"/>
        <s v="8 mm"/>
        <s v="10 mm"/>
        <s v="12 mm"/>
        <s v="20 mm"/>
        <s v="25 mm"/>
        <s v="35 mm"/>
        <s v="40 mm"/>
        <s v="1/2&quot;"/>
        <s v="WS-120"/>
        <s v="593-K02-1Y"/>
        <s v="593-005"/>
        <s v="WS-94"/>
        <s v="WS-20"/>
        <s v="593-KO5-1T"/>
        <s v="4&quot;"/>
        <s v="3/4&quot;"/>
        <s v="1&quot;"/>
        <s v="1 1/2&quot;"/>
        <s v="WS-56"/>
        <s v="385-084"/>
        <s v="385-B25-1Y"/>
        <s v="385-B07-1M"/>
        <s v="385-B56-1W"/>
        <s v="385-251"/>
        <s v="835-C39-1X"/>
        <s v="M3"/>
        <s v="385-B02-1C"/>
        <s v="385-B33-2M"/>
        <s v="385-116"/>
        <s v="B-1521"/>
        <s v="2&quot;"/>
        <s v="3&quot;"/>
        <s v="5&quot;"/>
        <s v="385-B26-1C"/>
        <s v="1 1/4&quot;"/>
        <s v="385-210"/>
        <s v="385-C28-1A"/>
        <s v="385-209"/>
        <s v="385-B38-1C"/>
        <s v="2 1/2&quot;"/>
        <s v="2 1/4&quot;"/>
        <s v="1 3/4&quot;"/>
        <s v="155-PO8-1T"/>
        <s v="155-P06-1C"/>
        <s v="3/8&quot;"/>
        <s v="1/4&quot;"/>
        <s v="3/32&quot;"/>
        <s v="1/8&quot;"/>
        <s v="5/32&quot;"/>
        <s v="3/16&quot;"/>
        <s v="8/32&quot; 155-P05-1Y"/>
        <s v="Mechatronics Kit"/>
        <s v="Arduino Nano RP2040 for IoT"/>
        <s v="Rental - Return to MYFab"/>
        <s v="https://www.amazon.ca/gp/product/B09N94GRCN/ref=ppx_yo_dt_b_asin_title_o00_s00?ie=UTF8&amp;th=1"/>
        <s v="https://www.amazon.ca/dp/B08GQ84KB3?ref=ppx_yo2ov_dt_b_product_details&amp;th=1"/>
        <s v="18mm"/>
        <s v="25mm"/>
        <s v="91802A151"/>
        <s v="91820A831"/>
        <s v="91802A829"/>
        <s v="91802A197"/>
        <s v="16mm"/>
        <s v="30mm "/>
        <s v="25mm "/>
        <s v="Round 6mm Diameter. 3 mm thick"/>
        <s v="1&quot; dia x 1/8&quot; thick" u="1"/>
        <s v="https://www.servocity.com/8mm-id-x-24mm-length-linear-ball-bearings/" u="1"/>
        <s v="https://www.servocity.com/5mm-id-x-12mm-od-flanged-ball-bearing-2-pack/" u="1"/>
        <s v="385 B12 1P" u="1"/>
        <s v="HN-69" u="1"/>
        <s v="385-B14-1C" u="1"/>
        <s v="385 B70 1W" u="1"/>
      </sharedItems>
    </cacheField>
    <cacheField name="Image" numFmtId="0">
      <sharedItems containsBlank="1" longText="1"/>
    </cacheField>
    <cacheField name="Stock" numFmtId="0">
      <sharedItems containsBlank="1" count="12">
        <s v="100"/>
        <s v="5"/>
        <m/>
        <s v="300"/>
        <s v="600"/>
        <s v="200"/>
        <s v="2200"/>
        <s v="350"/>
        <s v="85"/>
        <s v="41"/>
        <s v="500"/>
        <s v="59"/>
      </sharedItems>
    </cacheField>
    <cacheField name="Del_OutOfStock" numFmtId="0">
      <sharedItems containsBlank="1" count="8">
        <s v="In Stock"/>
        <s v="'Out of Stock'"/>
        <s v="'In Stock'"/>
        <s v="Out of Stock"/>
        <s v="3"/>
        <m/>
        <s v="-"/>
        <s v="Low Stock"/>
      </sharedItems>
    </cacheField>
    <cacheField name="FullName" numFmtId="0">
      <sharedItems/>
    </cacheField>
    <cacheField name="Del_IDSpecialtyHardware" numFmtId="0">
      <sharedItems count="1">
        <s v=" SPECIALTYHARDWARE"/>
      </sharedItems>
    </cacheField>
    <cacheField name="FilenameSpecs" numFmtId="0">
      <sharedItems/>
    </cacheField>
    <cacheField name="IDSpecialtyHardware" numFmtId="0">
      <sharedItems containsBlank="1" count="131">
        <s v="1 HARDWARE"/>
        <s v="2 HARDWARE"/>
        <s v="3 HARDWARE"/>
        <s v="4 HARDWARE"/>
        <s v="5 HARDWARE"/>
        <s v="6 HARDWARE"/>
        <s v="7 HARDWARE"/>
        <s v="8 HARDWARE"/>
        <s v="9 HARDWARE"/>
        <s v="11 HARDWARE"/>
        <s v="12 HARDWARE"/>
        <s v="13 HARDWARE"/>
        <s v="14 HARDWARE"/>
        <s v="15 HARDWARE"/>
        <s v="16 HARDWARE"/>
        <s v="17 HARDWARE"/>
        <s v="18 HARDWARE"/>
        <s v="19 HARDWARE"/>
        <s v="20 HARDWARE"/>
        <s v="21 HARDWARE"/>
        <s v="22 HARDWARE"/>
        <s v="23 HARDWARE"/>
        <s v="24 HARDWARE"/>
        <s v="25 HARDWARE"/>
        <s v="27 HARDWARE"/>
        <s v="28 HARDWARE"/>
        <s v="29 HARDWARE"/>
        <s v="30 HARDWARE"/>
        <s v="31 HARDWARE"/>
        <s v="32 HARDWARE"/>
        <s v="33 HARDWARE"/>
        <s v="34 HARDWARE"/>
        <s v="35 HARDWARE"/>
        <s v="36 HARDWARE"/>
        <s v="37 HARDWARE"/>
        <s v="38 HARDWARE"/>
        <s v="39 HARDWARE"/>
        <s v="40 HARDWARE"/>
        <s v="41 HARDWARE"/>
        <s v="42 HARDWARE"/>
        <s v="43 HARDWARE"/>
        <s v="44 HARDWARE"/>
        <s v="45 HARDWARE"/>
        <s v="46 HARDWARE"/>
        <s v="47 HARDWARE"/>
        <s v="48 HARDWARE"/>
        <s v="49 HARDWARE"/>
        <s v="50 HARDWARE"/>
        <s v="51 HARDWARE"/>
        <s v="52 HARDWARE"/>
        <s v="53 HARDWARE"/>
        <s v="54 HARDWARE"/>
        <s v="55 HARDWARE"/>
        <s v="56 HARDWARE"/>
        <s v="57 HARDWARE"/>
        <s v="58 HARDWARE"/>
        <s v="59 HARDWARE"/>
        <s v="60 HARDWARE"/>
        <s v="61 HARDWARE"/>
        <s v="62 HARDWARE"/>
        <s v="63 HARDWARE"/>
        <s v="64 HARDWARE"/>
        <s v="65 HARDWARE"/>
        <s v="66 HARDWARE"/>
        <s v="67 HARDWARE"/>
        <s v="68 HARDWARE"/>
        <s v="69 HARDWARE"/>
        <s v="70 HARDWARE"/>
        <s v="71 HARDWARE"/>
        <s v="72 HARDWARE"/>
        <s v="73 HARDWARE"/>
        <s v="74 HARDWARE"/>
        <s v="75 HARDWARE"/>
        <s v="76 HARDWARE"/>
        <s v="77 HARDWARE"/>
        <s v="78 HARDWARE"/>
        <s v="79 HARDWARE"/>
        <s v="80 HARDWARE"/>
        <s v="81 HARDWARE"/>
        <s v="82 HARDWARE"/>
        <s v="83 HARDWARE"/>
        <s v="84 HARDWARE"/>
        <s v="85 HARDWARE"/>
        <s v="86 HARDWARE"/>
        <s v="87 HARDWARE"/>
        <s v="88 HARDWARE"/>
        <s v="89 HARDWARE"/>
        <s v="91 HARDWARE"/>
        <s v="92 HARDWARE"/>
        <s v="93 HARDWARE"/>
        <s v="94 HARDWARE"/>
        <s v="95 HARDWARE"/>
        <s v="96 HARDWARE"/>
        <s v="101 HARDWARE"/>
        <s v="102 HARDWARE"/>
        <s v="103 HARDWARE"/>
        <s v="104 HARDWARE"/>
        <s v="105 HARDWARE"/>
        <s v="106 HARDWARE"/>
        <s v="107 HARDWARE"/>
        <s v="108 HARDWARE"/>
        <s v="109 HARDWARE"/>
        <s v="110 HARDWARE"/>
        <s v="111 HARDWARE"/>
        <s v="112 HARDWARE"/>
        <s v="113 HARDWARE"/>
        <s v="114 HARDWARE"/>
        <s v="115 HARDWARE"/>
        <s v="117 HARDWARE"/>
        <s v="118 HARDWARE"/>
        <s v="119 HARDWARE"/>
        <s v="120 HARDWARE"/>
        <s v="121 HARDWARE"/>
        <s v="122 HARDWARE"/>
        <s v="123 HARDWARE"/>
        <s v="124 HARDWARE"/>
        <s v="125 HARDWARE"/>
        <s v="126 HARDWARE"/>
        <s v="127 HARDWARE"/>
        <s v="128 HARDWARE"/>
        <s v="129 HARDWARE"/>
        <s v="130 HARDWARE"/>
        <s v="131 HARDWARE"/>
        <s v="132 HARDWARE"/>
        <s v="10 HARDWARE" u="1"/>
        <s v="97 HARDWARE" u="1"/>
        <s v="98 HARDWARE" u="1"/>
        <s v="99 HARDWARE" u="1"/>
        <s v="100 HARDWARE" u="1"/>
        <m u="1"/>
        <s v="116 HARDWARE" u="1"/>
      </sharedItems>
    </cacheField>
    <cacheField name="QTY_Ordered" numFmtId="0">
      <sharedItems containsString="0" containsBlank="1" containsNumber="1" containsInteger="1" minValue="0" maxValue="2200" count="10">
        <n v="0"/>
        <m/>
        <n v="400"/>
        <n v="200"/>
        <n v="2200"/>
        <n v="1000"/>
        <n v="2"/>
        <n v="180"/>
        <n v="4"/>
        <n v="6"/>
      </sharedItems>
    </cacheField>
    <cacheField name="InventoryDate" numFmtId="0">
      <sharedItems containsNonDate="0" containsDate="1" containsString="0" containsBlank="1" minDate="2021-10-27T00:00:00" maxDate="2024-10-13T00:00:00" count="16">
        <m/>
        <d v="2021-11-10T00:00:00"/>
        <d v="2021-10-27T00:00:00"/>
        <d v="2021-11-04T00:00:00"/>
        <d v="2024-10-12T00:00:00"/>
        <d v="2021-11-06T00:00:00"/>
        <d v="2021-11-07T00:00:00"/>
        <d v="2021-11-22T00:00:00"/>
        <d v="2022-08-10T00:00:00"/>
        <d v="2022-09-28T00:00:00"/>
        <d v="2022-11-07T00:00:00"/>
        <d v="2023-05-03T00:00:00"/>
        <d v="2023-08-14T00:00:00"/>
        <d v="2023-08-16T00:00:00"/>
        <d v="2023-08-29T00:00:00"/>
        <d v="2022-08-05T00:00:00"/>
      </sharedItems>
    </cacheField>
    <cacheField name="Category" numFmtId="0">
      <sharedItems containsBlank="1" count="10">
        <s v="Bearing balls"/>
        <s v="Misc"/>
        <s v="CourseKits"/>
        <s v="Machine screws"/>
        <s v="Nuts"/>
        <s v="Wooden screws"/>
        <s v="Washers"/>
        <s v="Hex bolts"/>
        <s v="Rivets"/>
        <m/>
      </sharedItems>
    </cacheField>
    <cacheField name="OutOfStock2" numFmtId="0">
      <sharedItems containsBlank="1" count="5">
        <m/>
        <s v="Out of Stock"/>
        <s v="-"/>
        <s v="Low Stock" u="1"/>
        <s v="* OUT OF STOCK -" u="1"/>
      </sharedItems>
    </cacheField>
    <cacheField name="ID" numFmtId="0">
      <sharedItems containsSemiMixedTypes="0" containsString="0" containsNumber="1" containsInteger="1" minValue="1" maxValue="132"/>
    </cacheField>
    <cacheField name="Created" numFmtId="0">
      <sharedItems containsSemiMixedTypes="0" containsNonDate="0" containsDate="1" containsString="0" minDate="2019-11-22T09:45:27" maxDate="2024-12-18T11:51:10"/>
    </cacheField>
    <cacheField name="Path" numFmtId="0">
      <sharedItems count="1">
        <s v="sites/fase-myhalfabrication/Lists/SpecialtyHardware"/>
      </sharedItems>
    </cacheField>
    <cacheField name="Item Type" numFmtId="0">
      <sharedItems count="1">
        <s v="Item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x" refreshedDate="45735.410857870367" createdVersion="8" refreshedVersion="8" minRefreshableVersion="3" recordCount="275" xr:uid="{A605E4AB-B418-4D9B-9AFF-7AF679FD0C33}">
  <cacheSource type="external" connectionId="2"/>
  <cacheFields count="17">
    <cacheField name="ID" numFmtId="0">
      <sharedItems containsSemiMixedTypes="0" containsString="0" containsNumber="1" containsInteger="1" minValue="1" maxValue="337"/>
    </cacheField>
    <cacheField name="Filename" numFmtId="0">
      <sharedItems count="319">
        <s v="Deprecated - Solder Breadboard (10row x 5column) -"/>
        <s v="Deprecated - Solder Breadboard (16row x 5column) -"/>
        <s v="22awg solid core black 1 ft"/>
        <s v="22awg solid core blue 1 ft"/>
        <s v="Pin header 40 contacts"/>
        <s v="PCB receptacle board to board 4pos 1 ros"/>
        <s v="Voltage regulator 3.3 V"/>
        <s v="Relay DPDT 2A 5V"/>
        <s v="Transistor TIP147"/>
        <s v="Diode 1N4004"/>
        <s v="Analog Temperature sensor"/>
        <s v="LED Misc From Sampler Kit"/>
        <s v="22awg solid core violet 1ft"/>
        <s v="22awg solid core yellow 1ft"/>
        <s v="22awg solid core brown 1ft"/>
        <s v="Jumper wire M-F"/>
        <s v="Jumper wire F-F"/>
        <s v="Jumper wire M-M"/>
        <s v="22awg solid core  green 1 ft"/>
        <s v="22awg solid core red 1ft"/>
        <s v="Pin header 20 contacts"/>
        <s v="Voltage regulator 12V 7812"/>
        <s v="Voltage regulator negative 5V (7905)"/>
        <s v="Dupont Connector 2 pin "/>
        <s v="Dupont Connector 3 pin"/>
        <s v="Dupont Connector 5 pin"/>
        <s v="Dupont Connector 6 pin"/>
        <s v="Dupont Connecter 7 pin"/>
        <s v="Dupont Connector 8 pin"/>
        <s v="Dupont Connector 9 pin"/>
        <s v="Dupont Connector 10 pin"/>
        <s v="F-M Stackable Header 4 pin"/>
        <s v="F-M Stackable Header 6 pin"/>
        <s v="Dupont Connector Reed F (10 units)"/>
        <s v="Dupont Connector Reed M (10 units)"/>
        <s v="JST 3 pin"/>
        <s v="JST 6 pin"/>
        <s v="DC Female Connector"/>
        <s v="DC Male Connector"/>
        <s v="JST 6 pin Small"/>
        <s v="Power Connector 2 pin F and M"/>
        <s v="Ceramic Capacitors"/>
        <s v="Transistor TIP142"/>
        <s v="Voltage regulator 5V (7805)"/>
        <s v="Flexible coupler 5 to 8mm"/>
        <s v="220 ohms resistor"/>
        <s v="330 ohms resistor"/>
        <s v="1 Kohms resistor"/>
        <s v="2 Kohms resistor"/>
        <s v="5.1 Kohms resistor"/>
        <s v="10 Kohms resistor"/>
        <s v="Heat sink"/>
        <s v="LM358-OpAmp"/>
        <s v="Pot 1k Rotary Potentiometer"/>
        <s v="Pot 100k Rotary Potentiometer"/>
        <s v="Heat sink SMD"/>
        <s v="Diode 1N4001"/>
        <s v="200 ohm"/>
        <s v="150ohm"/>
        <s v="100 ohm"/>
        <s v="47 ohm"/>
        <s v="22 ohm"/>
        <s v="10 ohm"/>
        <s v="270 ohm"/>
        <s v="2.2 kohm"/>
        <s v="470 ohm"/>
        <s v="510 ohm"/>
        <s v="680 ohm"/>
        <s v="3.3 Kohm"/>
        <s v="4.7 Kohm"/>
        <s v="6.8 Kohm"/>
        <s v="20 Kohm"/>
        <s v="47 Kohm"/>
        <s v="51 Kohm"/>
        <s v="68 Kohm"/>
        <s v="100 Kohm"/>
        <s v="220 Kohm"/>
        <s v="300 Kohm"/>
        <s v="470 Kohm"/>
        <s v="680 Kohm"/>
        <s v="1 Mohm"/>
        <s v="102 - 1K pot"/>
        <s v="103 - 10K trim pot"/>
        <s v="104 - 100K trim pot"/>
        <s v="202 - 2K pot"/>
        <s v="203 - 20K pot"/>
        <s v="204 - 200K pot"/>
        <s v="105 - 1M trim pot"/>
        <s v="501 - 500 ohms pot"/>
        <s v="502 - 5K pot"/>
        <s v="503 - 50K pot"/>
        <s v="Capacitor 0.22uF 50V"/>
        <s v="Capacitor 0.47uF 50V"/>
        <s v="Capacitor 1uF 50V"/>
        <s v="Capacitor 2.2uF 50V"/>
        <s v="Capacitor 4.7uF 50V"/>
        <s v="Capacitor 10uF 25V"/>
        <s v="Capacitor 47uF 16V"/>
        <s v="Capacitor 22uF 16V"/>
        <s v="Capacitor 33uF 16V"/>
        <s v="Capacitor  100uF 16V"/>
        <s v="Capacitor 220uF 16V"/>
        <s v="Capacitor 470uF 16V"/>
        <s v="0.1uF (104)"/>
        <s v="0.15 uF (154)"/>
        <s v="0.22uF (224)"/>
        <s v="0.33uF (334)"/>
        <s v="0.47uF (474)"/>
        <s v="0.68uF (684)"/>
        <s v="1uF (105)"/>
        <s v="2.2uF (225)"/>
        <s v="4.7uF (475)"/>
        <s v="10uF (106)"/>
        <s v="RGB LED"/>
        <s v="LED blue"/>
        <s v="8 Pin socket"/>
        <s v="Red LED"/>
        <s v="Green LED"/>
        <s v="22awg solid core white 1 ft"/>
        <s v="9V battery connector"/>
        <s v="Voltage regulator 9V (L7809ACV)"/>
        <s v="Electrolytic capacitor (from kit)"/>
        <s v="IC Socket (2.54mm Pitch 40pin)"/>
        <s v="F-M Header 8 pin"/>
        <s v="F-M Header 20 pin"/>
        <s v="Optoisolator Transistor"/>
        <s v="IC Socket (2.54mm Pitch various sizes 14p 16p 20p 28p)"/>
        <s v="Pot 10K Rotary Potentiometer"/>
        <s v="22awg solid core orange 1ft"/>
        <s v="Spiral Wrap - 6 mm"/>
        <s v="AC-DC power supply 12V 5A"/>
        <s v="AA case 8"/>
        <s v="AA case 4"/>
        <s v="Breadboard S 3.20&quot; x 2.08&quot;"/>
        <s v="Breadboard L 6.50&quot; x 2.15&quot;"/>
        <s v="USB A to Micro USB cable"/>
        <s v="Toggle switch DPDT momentary"/>
        <s v="Relay module 5V"/>
        <s v="Logic Level Converter"/>
        <s v="RPI Pico"/>
        <s v="Arduino Mega 2560"/>
        <s v="Arduino Nano RP2040"/>
        <s v="Ultrasonic sensor"/>
        <s v="Distance sensor optical analog"/>
        <s v="Weight sensor (Load cell) 50 kg"/>
        <s v="RPI NOIR Camera"/>
        <s v="Pressure sensor"/>
        <s v="Gravity soil moisture sensor"/>
        <s v="DHT22 Temp-humidity sensor"/>
        <s v="Photoresistor"/>
        <s v="Mini stepper Motor Nema 8"/>
        <s v="Stepper motor Nema 23"/>
        <s v="Adafruit Bluefruit LE UART"/>
        <s v="Type B USB for Arduino"/>
        <s v="Thermistor"/>
        <s v="PIR sensor"/>
        <s v="Stepper motor Nema 17"/>
        <s v="DC Gear Motor 6V 100RPM w/ encoder"/>
        <s v="Micro metal gear motor 6V w/ encoder"/>
        <s v="2A motor driver"/>
        <s v="Arduino UNO R3"/>
        <s v="Push button"/>
        <s v="DC Gear motor 12V 60 RPM w/encoder"/>
        <s v="MG996R Servo motor"/>
        <s v="DC Barrel Adapter - BrdBrd"/>
        <s v="3-Position Breakout"/>
        <s v="SilyWheels"/>
        <s v="Toggle switch DPDT latching"/>
        <s v="Hex Standoff M3 50mm M-F"/>
        <s v="Hex Standoff M3 x 25mm  M-F Brass"/>
        <s v="Hex Standoff M3 20mm F-F "/>
        <s v="Hex Standoff M3 10.00mm F-M"/>
        <s v="Hex Standoff M3  8.00mm F-M "/>
        <s v="Diode 1N5819"/>
        <s v="Mosfet IRF510"/>
        <s v="Diode 1N4148"/>
        <s v="Plunger Clips"/>
        <s v="Turnigy NiMH 7.2V 3000mAh Battery"/>
        <s v="Motor Hub 3mm"/>
        <s v="Wheel (Blue)"/>
        <s v="Wheel (Narrow)"/>
        <s v="Mecanum Wheel"/>
        <s v="Stepper motor driver A4988"/>
        <s v="Micro SD card module"/>
        <s v="Trimmer 10K Rotary Potentiometer"/>
        <s v="Hex coupler 3mm"/>
        <s v="GPS L76B GNSS Module"/>
        <s v="Buzzer piezo"/>
        <s v="Motor driver DRV8833"/>
        <s v="AM2320 Humidity/ temp sensor"/>
        <s v="Gear- 48T 32 Pitch Hub Mount Spur"/>
        <s v="Beam Gear Rack"/>
        <s v="4mm bore gearmotor pinion gears 32 pitch"/>
        <s v="5mm (0.770&quot;) Clamping Hub"/>
        <s v="4&quot; Precision Wheels (pair)"/>
        <s v="96 Tooth Delrin Hub Mount Spur Gear 32 Pitch"/>
        <s v="Lightweight Servo Hub (H25T Spline)"/>
        <s v="20” / 100T, (3/8&quot;) Wide XL Timing Belt"/>
        <s v="5mm (0.770&quot;) Set Screw Hub"/>
        <s v="60 Tooth Timing Hub Pulley 1In Bore"/>
        <s v="4mm (0.770&quot;) Set Screw Hub"/>
        <s v="Lead Screw (8mm Lead, 4 Start, 650mm Length)"/>
        <s v="4mm 15 Tooth Pinion Pulley"/>
        <s v="8mm Lead Screw Nut, 0.770&quot; Pattern"/>
        <s v="3&quot; Precision Wheels Yellow (Pair)"/>
        <s v="30-inch / 150T, (3/8 inch) Wide XL Timing Belt"/>
        <s v="32 Pitch, 36 Tooth Delrin Hub Mount Spur Gear"/>
        <s v="Servo Mount Gear- 32 Pitch, 16 Tooth, 25T 3F Spline "/>
        <s v="Lead Screw (8mm Lead, 4 Start, 300mm Length)"/>
        <s v="8mm x 300mm Stainless Steel Precision Shafting"/>
        <s v="5mm x 300mm Stainless Steel Precision Shafting"/>
        <s v="5mm 15 Tooth Pinion Pulley"/>
        <s v="5mm x 200mm Stainless Steel Precision Shafting"/>
        <s v="5mm to 8mm Set Screw Shaft Coupler"/>
        <s v="5mm to 5mm Set Screw Shaft Coupler"/>
        <s v="4mm to 8mm Set Screw Shaft Coupler"/>
        <s v="4mm to 5mm Set Screw Shaft Coupler"/>
        <s v="LCD alphanumeric display"/>
        <s v="3-Axis Acceleration Sensor (gyroscope)"/>
        <s v="Liquid Level Sensor"/>
        <s v="3D Time-of-Flight (ToF) Sensor"/>
        <s v="Gas Sensor"/>
        <s v="Force Sensing Resistor (Small area)"/>
        <s v="Force Sensing Resistor (Large area)"/>
        <s v="Optical slot sensor"/>
        <s v="Vibration sensor"/>
        <s v="Optical through beam sensor"/>
        <s v="Color Sensor"/>
        <s v="Hall effect sensor"/>
        <s v="Reed Switch Sensor and magnet"/>
        <s v="Pot 10K Linear slide potentiometer"/>
        <s v="Water flow sensor"/>
        <s v="Micro Servo Motor 360"/>
        <s v="5 x 7 LED Matrix"/>
        <s v="Jumper"/>
        <s v="MicroSD card + usb dongle"/>
        <s v="Rotary Encoder"/>
        <s v="BME 680 Gas, Humidity, Pressure, Temperature Sensor "/>
        <s v="Solenoid"/>
        <s v="20W Adjustable DC-DC Buck Converter"/>
        <s v="433Mhz RF link kit"/>
        <s v="Hex Standoff M3 50mm F-F"/>
        <s v="Hex Standoff M4 80mm F-F"/>
        <s v="Hex Standoff Nylon #6-32 1/2&quot; M-F"/>
        <s v="Raspberry Pi 4 B+ 4GB RAM +USB-C power supply + micro HDMI + GPIO Extension board + microSD card + USB dongle"/>
        <s v="WiFi ESP32 AirLift"/>
        <s v="Weight sensor (load cell) 5 kg"/>
        <s v="Load cell amplifier"/>
        <s v="Hobby motor- Gear"/>
        <s v="Mini vibration motor"/>
        <s v="DC Gear motor 3-7.2V  210 RPM"/>
        <s v="Switch SPST (limit switch)"/>
        <s v="USB 2.0 Cable A Male to Mini B Male"/>
        <s v="Breadboard 3.3v/5v Power Supply"/>
        <s v="Fan 12V 80mm x  80 mm"/>
        <s v="Optical slot emitter and sensor pair"/>
        <s v="Inductive Proximity sensor"/>
        <s v="Micro Servo Motor 5V - Positional Rotation"/>
        <s v="Fan 30x30x7mm"/>
        <s v="Electric Air Pump- two ways"/>
        <s v="Vacuum Pump 12V"/>
        <s v="Buzzer Piezo 3V"/>
        <s v="Submersible Water Pump 3V- to use only under water"/>
        <s v="Submersible Water Pump 6V- to use only under water"/>
        <s v="NRF24L01 2.4GHz Wireless Transceiver Module"/>
        <s v="RPI Pico W"/>
        <s v="Bearing 608 (8mm ID x 22mm OD, 7mm Thickness) - 1 piece"/>
        <s v="Raspberry Pi 3B+ + HDMI + GPIO Extension board + power supply + microSD card + USB dongle"/>
        <s v="USB C to Micro USB cable"/>
        <s v="Bearing (8mm ID x 12mm OD, 4mm Thickness) - 1 piece"/>
        <s v="4&quot; Square Ball Bearing Turntable"/>
        <s v="Linear Ball Bearings 8mm ID x 24mm Length "/>
        <s v="Bearing (5mm ID x 12mm OD, 4mm Thickness) - 1 piece"/>
        <s v="DC to DC Converter 12V" u="1"/>
        <s v="DC to DC adjustable converter - 20W" u="1"/>
        <s v="Ball bearing 608" u="1"/>
        <s v="Solder Breadboard (10row x 5column)" u="1"/>
        <s v="Solder Breadboard (16row x 5column)" u="1"/>
        <s v="22awg solid black 1 ft" u="1"/>
        <s v="22awg solid blue 1 ft" u="1"/>
        <s v="Resistors" u="1"/>
        <s v="Wifi antenna" u="1"/>
        <s v="22awg solid violet 1ft" u="1"/>
        <s v="22awg solid yellow 1ft" u="1"/>
        <s v="22awg solid brown 1ft" u="1"/>
        <s v="22awg solig green 1 ft" u="1"/>
        <s v="22awg solid red 1ft" u="1"/>
        <s v="Dupont Cable F-F 4 pin" u="1"/>
        <s v="Dupont Cable M-F 4 pin" u="1"/>
        <s v="Potentiometers" u="1"/>
        <s v="DC to DC converter" u="1"/>
        <s v="Pressure sensor gauge" u="1"/>
        <s v="Capacitive Moisture Sensor" u="1"/>
        <s v="RFM9x Long Range RF" u="1"/>
        <s v="Raspberry Pi 3 A+" u="1"/>
        <s v="USB Micro-B power supply for RPI" u="1"/>
        <s v="433Mhz wireless RF Switch remote controller" u="1"/>
        <s v="103 - 10K pot" u="1"/>
        <s v="104 - 100K pot" u="1"/>
        <s v="105 - 1M pot" u="1"/>
        <s v="RED LED " u="1"/>
        <s v="Red LED 5 mm" u="1"/>
        <s v="Green LED 5 mm" u="1"/>
        <s v="22awg solid white 1 ft" u="1"/>
        <s v="USB to Micro USB cable" u="1"/>
        <s v="Humidity/ temp sensor" u="1"/>
        <s v="Timing belt pulley T2" u="1"/>
        <s v="Timing Belt T2" u="1"/>
        <s v="DC to DC Converter 6V" u="1"/>
        <s v="Slip ring" u="1"/>
        <s v="GPS evaluation board- Arduino Compatible" u="1"/>
        <s v="Magnetometer  -  Arduino Compatible" u="1"/>
        <s v="Absolute Orientation Sensor BNO055" u="1"/>
        <s v="PH meter" u="1"/>
        <s v="Raspberry Pi 4 4GB RAM" u="1"/>
        <s v="Switch SPST" u="1"/>
        <s v="Servomotor 5V- Positional Rotation" u="1"/>
        <s v="3-Axis Acceleration Sensor" u="1"/>
        <s v="DC motor 3-7.2V  210 RPM" u="1"/>
      </sharedItems>
    </cacheField>
    <cacheField name="Created" numFmtId="0">
      <sharedItems containsSemiMixedTypes="0" containsNonDate="0" containsDate="1" containsString="0" minDate="2021-08-24T10:29:57" maxDate="2025-03-11T10:55:38"/>
    </cacheField>
    <cacheField name="Path" numFmtId="0">
      <sharedItems count="1">
        <s v="sites/fase-myhalfabrication/Lists/Mechatronics_new"/>
      </sharedItems>
    </cacheField>
    <cacheField name="Item Type" numFmtId="0">
      <sharedItems count="1">
        <s v="Item"/>
      </sharedItems>
    </cacheField>
    <cacheField name="Cost" numFmtId="0">
      <sharedItems containsString="0" containsBlank="1" containsNumber="1" minValue="0.01" maxValue="145.66"/>
    </cacheField>
    <cacheField name="Image" numFmtId="0">
      <sharedItems containsBlank="1" longText="1"/>
    </cacheField>
    <cacheField name="Category" numFmtId="0">
      <sharedItems containsBlank="1" count="24">
        <s v="Connect"/>
        <s v="Power"/>
        <s v="Component"/>
        <s v="Sensor"/>
        <s v="Capacitors- Ceramic"/>
        <s v="Coupling"/>
        <s v="Resistors"/>
        <m/>
        <s v="Capacitors- Electrolytic"/>
        <s v="MCU"/>
        <s v="Actuator"/>
        <s v="Communication"/>
        <s v="Motor drivers"/>
        <s v="Wheels"/>
        <s v="Hardware"/>
        <s v="Gears"/>
        <s v="Belts and pulleys"/>
        <s v="Lead screws"/>
        <s v="Shafting"/>
        <s v="Displays"/>
        <s v="Single Board Computer- SBC"/>
        <s v="Bearing"/>
        <s v="External" u="1"/>
        <s v="toReview" u="1"/>
      </sharedItems>
    </cacheField>
    <cacheField name="Spec sheet" numFmtId="0">
      <sharedItems containsBlank="1" count="178" longText="1">
        <s v="https://www.mouser.ca/datasheet/2/73/SBB1005_1-2488414.pdf_x000a_https://www.mouser.ca/datasheet/2/73/SBB1005_1-2488414.pdf"/>
        <s v="https://www.mouser.ca/datasheet/2/73/SBB1605_1-2488593.pdf_x000a_https://www.mouser.ca/datasheet/2/73/SBB1605_1-2488593.pdf"/>
        <s v="http://www.cnctech.us/pdfs/UL%2010982%20AWG%2022.pdf_x000a_http://www.cnctech.us/pdfs/UL%2010982%20AWG%2022.pdf"/>
        <s v="https://www.alphawire.com/products/wire/hook-up-wire/premium/3051_1/_x000a_https://www.alphawire.com/products/wire/hook-up-wire/premium/3051_1/"/>
        <s v="https://www.we-online.com/katalog/datasheet/61304011121.pdf_x000a_https://www.we-online.com/katalog/datasheet/61304011121.pdf"/>
        <s v="https://www.farnell.com/datasheets/185042.pdf?_ga=2.21328568.2054498849.1629474812-1963937051.1613669872&amp;_gac=1.118996091.1629474812.Cj0KCQjwpf2IBhDkARIsAGVo0D3Nq0169lJZwweYV3jyhYvTXDjXJhqs6YIh56RBfJMwRF8xWkWAw-8aAg8CEALw_wcB_x000a_https://www.farnell.com/datasheets/185042.pdf?_ga=2.21328568.2054498849.1629474812-1963937051.1613669872&amp;_gac=1.118996091.1629474812.Cj0KCQjwpf2IBhDkARIsAGVo0D3Nq0169lJZwweYV3jyhYvTXDjXJhqs6YIh56RBfJMwRF8xWkWAw-8aAg8CEALw_wcB"/>
        <s v="https://www.mouser.ca/datasheet/2/389/cd00001884-1795582.pdf_x000a_https://www.mouser.ca/datasheet/2/389/cd00001884-1795582.pdf"/>
        <s v="https://www.farnell.com/datasheets/1717964.pdf_x000a_https://www.farnell.com/datasheets/1717964.pdf"/>
        <s v="https://www.onsemi.com/pdf/datasheet/tip147t-d.pdf_x000a_https://www.onsemi.com/pdf/datasheet/tip147t-d.pdf"/>
        <s v="https://www.vishay.com/docs/88503/1n4001.pdf_x000a_https://www.vishay.com/docs/88503/1n4001.pdf"/>
        <s v="https://www.mouser.ca/datasheet/2/609/TMP35_36_37-1504323.pdf_x000a_https://www.mouser.ca/datasheet/2/609/TMP35_36_37-1504323.pdf"/>
        <s v="https://learn.adafruit.com/all-about-leds/the-led-datasheet_x000a_https://learn.adafruit.com/all-about-leds/the-led-datasheet"/>
        <m/>
        <s v="https://www.we-online.com/katalog/datasheet/6130xx11121.pdf_x000a_https://www.we-online.com/katalog/datasheet/6130xx11121.pdf"/>
        <s v="https://www.mouser.com/datasheet/2/149/LM7812-461970.pdf_x000a_https://www.mouser.com/datasheet/2/149/LM7812-461970.pdf"/>
        <s v="https://www.st.com/content/ccc/resource/technical/document/datasheet/e9/be/53/a3/1f/6f/4f/75/CD00000449.pdf/files/CD00000449.pdf/jcr:content/translations/en.CD00000449.pdf_x000a_https://www.st.com/content/ccc/resource/technical/document/datasheet/e9/be/53/a3/1f/6f/4f/75/CD00000449.pdf/files/CD00000449.pdf/jcr:content/translations/en.CD00000449.pdf"/>
        <s v="https://www.onsemi.com/pdf/datasheet/tip140-d.pdf_x000a_https://www.onsemi.com/pdf/datasheet/tip140-d.pdf"/>
        <s v="https://www.st.com/content/ccc/resource/technical/document/datasheet/41/4f/b3/b0/12/d4/47/88/CD00000444.pdf/files/CD00000444.pdf/jcr:content/translations/en.CD00000444.pdf_x000a_https://www.st.com/content/ccc/resource/technical/document/datasheet/41/4f/b3/b0/12/d4/47/88/CD00000444.pdf/files/CD00000444.pdf/jcr:content/translations/en.CD00000444.pdf"/>
        <s v="https://www.seielect.com/catalog/sei-cf_cfm.pdf_x000a_https://www.seielect.com/catalog/sei-cf_cfm.pdf"/>
        <s v="https://www.boydcorp.com/aavid-datasheets/Board-Level-Cooling-Channel-5770.pdf_x000a_https://www.boydcorp.com/aavid-datasheets/Board-Level-Cooling-Channel-5770.pdf"/>
        <s v="https://www.ti.com/lit/ds/symlink/lm358.pdf?HQS=dis-dk-null-digikeymode-dsf-pf-null-wwe&amp;ts=1647284756167_x000a_https://www.ti.com/lit/ds/symlink/lm358.pdf?HQS=dis-dk-null-digikeymode-dsf-pf-null-wwe&amp;ts=1647284756167"/>
        <s v="https://www.ttelectronics.com/TTElectronics/media/ProductFiles/Datasheets/P170.pdf_x000a_https://www.ttelectronics.com/TTElectronics/media/ProductFiles/Datasheets/P170.pdf"/>
        <s v="https://www.farnell.com/datasheets/202015.pdf?_ga=2.194043501.1199476505.1647878618-1962539389.1647878618&amp;_gac=1.207946278.1647882614.EAIaIQobChMI0oKM6NjX9gIVPHxvBB1vKge5EAAYASAAEgLruvD_BwE_x000a_https://www.farnell.com/datasheets/202015.pdf?_ga=2.194043501.1199476505.1647878618-1962539389.1647878618&amp;_gac=1.207946278.1647882614.EAIaIQobChMI0oKM6NjX9gIVPHxvBB1vKge5EAAYASAAEgLruvD_BwE"/>
        <s v="https://www.farnell.com/datasheets/17573.pdf?_ga=2.62316652.1704274267.1657812188-1688886292.1657812188_x000a_https://www.farnell.com/datasheets/17573.pdf?_ga=2.62316652.1704274267.1657812188-1688886292.1657812188"/>
        <s v="https://www.diodes.com/assets/Datasheets/ds28002.pdf_x000a_https://www.diodes.com/assets/Datasheets/ds28002.pdf"/>
        <s v="https://www.vishay.com/docs/45171/kseries.pdf_x000a_https://www.vishay.com/docs/45171/kseries.pdf"/>
        <s v="https://www.mouser.ca/datasheet/2/109/C18455B-1843429.pdf_x000a_https://www.mouser.ca/datasheet/2/109/C18455B-1843429.pdf"/>
        <s v="https://media.digikey.com/pdf/Data%20Sheets/CREE%20Power/C556D-RFx,,GFx,,BFx,,AFx.pdf_x000a_https://media.digikey.com/pdf/Data%20Sheets/CREE%20Power/C556D-RFx,GFx,BFx,AFx.pdf"/>
        <s v="https://app.adam-tech.com/products/download/data_sheet/199582/ics-3xx-t-data-sheet.pdf_x000a_https://app.adam-tech.com/products/download/data_sheet/199582/ics-3xx-t-data-sheet.pdf"/>
        <s v="https://utoronto.sharepoint.com/:b:/r/sites/fase-myhalfabrication/Home/Other/Empirical%20LED%20Specifications.pdf?csf=1&amp;web=1&amp;e=5EYu6R_x000a_https://utoronto.sharepoint.com/:b:/r/sites/fase-myhalfabrication/Home/Other/Empirical%20LED%20Specifications.pdf?csf=1&amp;web=1&amp;e=5EYu6R"/>
        <s v="https://www.keyelco.com/userAssets/file/M65p30.pdf_x000a_https://www.keyelco.com/userAssets/file/M65p30.pdf"/>
        <s v="https://www.amazon.ca/Pressed-2-54mm-Pitch-Socket-Pieces/dp/B08NC5S6W6?th=1_x000a_https://www.amazon.ca/Pressed-2-54mm-Pitch-Socket-Pieces/dp/B08NC5S6W6?th=1"/>
        <s v="https://github.com/PTSolns/docs/blob/main/schematics/FemaleHeader-SingleRow-Straight/FH_1x8Pin_2.54mm_Straight.jpg_x000a_https://github.com/PTSolns/docs/blob/main/schematics/FemaleHeader-SingleRow-Straight/FH_1x8Pin_2.54mm_Straight.jpg"/>
        <s v="https://github.com/PTSolns/docs/blob/main/schematics/FemaleHeader-SingleRow-Straight/FH_1x20Pin_2.54mm_Straight.jpg_x000a_https://github.com/PTSolns/docs/blob/main/schematics/FemaleHeader-SingleRow-Straight/FH_1x20Pin_2.54mm_Straight.jpg"/>
        <s v="https://www.amazon.ca/Pressed-2-54mm-Pitch-Socket-Pieces/dp/B08NCTQLGM?ref_=ast_sto_dp&amp;th=1_x000a_https://www.amazon.ca/Pressed-2-54mm-Pitch-Socket-Pieces/dp/B08NCTQLGM?ref_=ast_sto_dp&amp;th=1"/>
        <s v="https://www.ttelectronics.com/TTElectronics/media/ProductFiles/Datasheet/P160.pdf_x000a_https://www.ttelectronics.com/TTElectronics/media/ProductFiles/Datasheet/P160.pdf"/>
        <s v="https://www.mouser.ca/datasheet/2/209/EPD-200837-1171481.pdf_x000a_https://www.mouser.ca/datasheet/2/209/EPD-200837-1171481.pdf"/>
        <s v="https://www.digikey.ca/en/products/detail/keystone-electronics/2478CN/7385278?s=N4IgTCBcDaIMwDYC0YAsB2AHAYQHJNwBEQBdAXyA_x000a_https://www.digikey.ca/en/products/detail/keystone-electronics/2478CN/7385278?s=N4IgTCBcDaIMwDYC0YAsB2AHAYQHJNwBEQBdAXyA"/>
        <s v="https://www.farnell.com/datasheets/1786645.pdf_x000a_https://www.farnell.com/datasheets/1786645.pdf"/>
        <s v="https://www.budind.com/wp-content/uploads/2019/12/BB-32656.pdf_x000a_https://www.budind.com/wp-content/uploads/2019/12/BB-32656.pdf"/>
        <s v="https://www.farnell.com/datasheets/2945647.pdf_x000a_https://www.farnell.com/datasheets/2945647.pdf"/>
        <s v="https://www.farnell.com/datasheets/2548967.pdf?_ga=2.125107465.2054498849.1629474812-1963937051.1613669872&amp;_gac=1.184537684.1629474812.Cj0KCQjwpf2IBhDkARIsAGVo0D3Nq0169lJZwweYV3jyhYvTXDjXJhqs6YIh56RBfJMwRF8xWkWAw-8aAg8CEALw_wcB_x000a_https://www.farnell.com/datasheets/2548967.pdf?_ga=2.125107465.2054498849.1629474812-1963937051.1613669872&amp;_gac=1.184537684.1629474812.Cj0KCQjwpf2IBhDkARIsAGVo0D3Nq0169lJZwweYV3jyhYvTXDjXJhqs6YIh56RBfJMwRF8xWkWAw-8aAg8CEALw_wcB"/>
        <s v="https://www.sparkfun.com/products/12009_x000a_https://www.sparkfun.com/products/12009"/>
        <s v="https://datasheets.raspberrypi.org/pico/pico-datasheet.pdf_x000a_https://datasheets.raspberrypi.org/pico/pico-datasheet.pdf"/>
        <s v="https://store.arduino.cc/usa/mega-2560-r3_x000a_https://store.arduino.cc/usa/mega-2560-r3"/>
        <s v="https://www.mouser.ca/datasheet/2/34/ABX00053_datasheet-2487198.pdf_x000a_https://www.mouser.ca/datasheet/2/34/ABX00053_datasheet-2487198.pdf"/>
        <s v="https://media.digikey.com/pdf/Data%20Sheets/Adafruit%20PDFs/4007_Web.pdf_x000a_https://media.digikey.com/pdf/Data%20Sheets/Adafruit%20PDFs/4007_Web.pdf"/>
        <s v="https://media.digikey.com/pdf/Data%20Sheets/Sharp%20PDFs/GP2Y0A41SK0F_Spec.pdf_x000a_https://media.digikey.com/pdf/Data%20Sheets/Sharp%20PDFs/GP2Y0A41SK0F_Spec.pdf"/>
        <s v="https://media.digikey.com/pdf/Data%20Sheets/Seeed%20Technology/114990100_Web.pdf_x000a_https://media.digikey.com/pdf/Data%20Sheets/Seeed%20Technology/114990100_Web.pdf"/>
        <s v="https://www.raspberrypi.org/products/pi-noir-camera-v2/_x000a_https://www.raspberrypi.org/products/pi-noir-camera-v2/"/>
        <s v="https://media.digikey.com/pdf/Data%20Sheets/Honeywell%20PDFs/ssc_series_DS.pdf_x000a_https://media.digikey.com/pdf/Data%20Sheets/Honeywell%20PDFs/ssc_series_DS.pdf"/>
        <s v="https://wiki.dfrobot.com/Moisture_Sensor__SKU_SEN0114__x000a_https://wiki.dfrobot.com/Moisture_Sensor__SKU_SEN0114_"/>
        <s v="https://www.mouser.ca/datasheet/2/737/dht-932870.pdf_x000a_https://www.mouser.ca/datasheet/2/737/dht-932870.pdf"/>
        <s v="https://cdn-learn.adafruit.com/downloads/pdf/photocells.pdf_x000a_https://cdn-learn.adafruit.com/downloads/pdf/photocells.pdf"/>
        <s v="https://www.adafruit.com/product/4411_x000a_https://www.adafruit.com/product/4411"/>
        <s v="https://www.mouser.ca/datasheet/2/813/57BYGH420_2-2488166.pdf_x000a_https://www.mouser.ca/datasheet/2/813/57BYGH420_2-2488166.pdf"/>
        <s v="https://www.mouser.ca/datasheet/2/737/introducing-the-adafruit-bluefruit-le-uart-friend-932882.pdf_x000a_https://www.mouser.ca/datasheet/2/737/introducing-the-adafruit-bluefruit-le-uart-friend-932882.pdf"/>
        <s v="https://learn.adafruit.com/thermistor_x000a_https://learn.adafruit.com/thermistor"/>
        <s v="https://cdn-shop.adafruit.com/product-files/4667/4667_C15116.pdf_x000a_https://cdn-shop.adafruit.com/product-files/4667/4667_C15116.pdf"/>
        <s v="https://utoronto.sharepoint.com/sites/fase-myhalfabrication/MechDataSheets/Forms/AllItems.aspx?id=%2Fsites%2Ffase%2Dmyhalfabrication%2FMechDataSheets%2FStepper%5F17HS3401S%2Epdf&amp;parent=%2Fsites%2Ffase%2Dmyhalfabrication%2FMechDataSheets_x000a_https://utoronto.sharepoint.com/sites/fase-myhalfabrication/MechDataSheets/Forms/AllItems.aspx?id=%2Fsites%2Ffase%2Dmyhalfabrication%2FMechDataSheets%2FStepper%5F17HS3401S%2Epdf&amp;parent=%2Fsites%2Ffase%2Dmyhalfabrication%2FMechDataSheets"/>
        <s v="https://media.digikey.com/pdf/Data%20Sheets/DFRobot%20PDFs/FIT0522_Web.pdf_x000a_https://media.digikey.com/pdf/Data%20Sheets/DFRobot%20PDFs/FIT0522_Web.pdf"/>
        <s v="https://www.digikey.com/htmldatasheets/production/2303784/0/0/1/fit0484.html_x000a_https://www.digikey.com/htmldatasheets/production/2303784/0/0/1/fit0484.html"/>
        <s v="http://www.handsontec.com/dataspecs/L298N%20Motor%20Driver.pdf_x000a_http://www.handsontec.com/dataspecs/L298N%20Motor%20Driver.pdf"/>
        <s v="https://www.farnell.com/datasheets/1682209.pdf_x000a_https://www.farnell.com/datasheets/1682209.pdf"/>
        <s v="https://omronfs.omron.com/en_US/ecb/products/pdf/en-b3f.pdf_x000a_https://omronfs.omron.com/en_US/ecb/products/pdf/en-b3f.pdf"/>
        <s v="https://abra-electronics.com/electromechanical/motors/gear-motors/metal-gearmotors/jga25-370-series/jga25-370-12v35-e-12vdc-35-rpm-dc-gear-motor-with-magnetic-encoder-clone.html_x000a_https://abra-electronics.com/electromechanical/motors/gear-motors/metal-gearmotors/jga25-370-series/jga25-370-12v35-e-12vdc-35-rpm-dc-gear-motor-with-magnetic-encoder-clone.html"/>
        <s v="https://pdf1.alldatasheet.com/datasheet-pdf/view/1131873/ETC2/MG996R.html_x000a_https://pdf1.alldatasheet.com/datasheet-pdf/view/1131873/ETC2/MG996R.html"/>
        <s v="https://www.mouser.ca/datasheet/2/813/18742-2529326.pdf_x000a_https://www.mouser.ca/datasheet/2/813/18742-2529326.pdf"/>
        <s v="https://www.mouser.ca/datasheet/2/595/BB-TERM3-471790.pdf_x000a_https://www.mouser.ca/datasheet/2/595/BB-TERM3-471790.pdf"/>
        <s v="https://www.citrelay.com/Catalog%20Pages/SwitchCatalog/ANT.pdf_x000a_https://www.citrelay.com/Catalog%20Pages/SwitchCatalog/ANT.pdf"/>
        <s v="https://www.we-online.com/katalog/datasheet/971500324.pdf_x000a_https://www.we-online.com/katalog/datasheet/971500324.pdf"/>
        <s v="https://www.we-online.com/katalog/datasheet/971250244.pdf_x000a_https://www.we-online.com/katalog/datasheet/971250244.pdf"/>
        <s v="https://www.keyelco.com/userAssets/file/M65p76.pdf_x000a_https://www.keyelco.com/userAssets/file/M65p76.pdf"/>
        <s v="https://www.we-online.com/katalog/datasheet/971100354.pdf_x000a_https://www.we-online.com/katalog/datasheet/971100354.pdf"/>
        <s v="https://www.mouser.ca/datasheet/2/427/1n5817-1768225.pdf_x000a_https://www.mouser.ca/datasheet/2/427/1n5817-1768225.pdf"/>
        <s v="https://www.vishay.com/docs/91015/irf510.pdf_x000a_https://www.vishay.com/docs/91015/irf510.pdf"/>
        <s v="https://www.vishay.com/docs/81857/1n4148.pdf_x000a_https://www.vishay.com/docs/81857/1n4148.pdf"/>
        <s v="https://hobbyking.com/en_us/turnigy-stick-pack-sub-c-3000mah-7-2v-nimh-high-power-series.html_x000a_https://hobbyking.com/en_us/turnigy-stick-pack-sub-c-3000mah-7-2v-nimh-high-power-series.html"/>
        <s v="https://www.casterbot.com/p/65mm-robot-wheel-blue-rubber-wheels-pair/_x000a_https://www.casterbot.com/p/65mm-robot-wheel-blue-rubber-wheels-pair/"/>
        <s v="https://www.pololu.com/product/1182_x000a_https://www.pololu.com/product/1182"/>
        <s v="https://wiki.dfrobot.com/MicroSD_card_module_for_Arduino__SKU_DFR0229__x000a_https://wiki.dfrobot.com/MicroSD_card_module_for_Arduino__SKU_DFR0229_"/>
        <s v="https://www.piher.net/piher-nacesa.com/pdf/14-PT15v03.pdf_x000a_https://www.piher.net/piher-nacesa.com/pdf/14-PT15v03.pdf"/>
        <s v="https://www.aliexpress.com/item/32955694782.html?spm=a2g0o.search0302.0.0.cfdcc102tU1RJv&amp;algo_pvid=9e7e75c2-541e-45d5-b84c-968a4ca9f664&amp;algo_exp_id=9e7e75c2-541e-45d5-b84c-968a4ca9f664-27_x000a_https://www.aliexpress.com/item/32955694782.html?spm=a2g0o.search0302.0.0.cfdcc102tU1RJv&amp;algo_pvid=9e7e75c2-541e-45d5-b84c-968a4ca9f664&amp;algo_exp_id=9e7e75c2-541e-45d5-b84c-968a4ca9f664-27"/>
        <s v="https://www.waveshare.com/pico-gps-l76b.htm_x000a_https://www.waveshare.com/pico-gps-l76b.htm"/>
        <s v="https://dbunlimitedco.com/images/product_images/2D-Drawings/IP154012-1.pdf_x000a_https://dbunlimitedco.com/images/product_images/2D-Drawings/IP154012-1.pdf"/>
        <s v="https://learn.adafruit.com/adafruit-drv8833-dc-stepper-motor-driver-breakout-board/stepper-motor-usage_x000a_https://learn.adafruit.com/adafruit-drv8833-dc-stepper-motor-driver-breakout-board/stepper-motor-usage"/>
        <s v="https://shop.pimoroni.com/products/digital-temperature-and-humidity-sensor?variant=35611648138_x000a_https://shop.pimoroni.com/products/digital-temperature-and-humidity-sensor?variant=35611648138"/>
        <s v="https://www.servocity.com/actobotics-beam-gear-rack-32-pitch-acetal/_x000a_https://www.servocity.com/actobotics-beam-gear-rack-32-pitch-acetal/"/>
        <s v="https://www.servocity.com/4mm-bore-32-pitch-16t-shaft-mount-pinion-gear/_x000a_https://www.servocity.com/4mm-bore-32-pitch-16t-shaft-mount-pinion-gear/"/>
        <s v="https://www.servocity.com/5mm-0-770-clamping-hub/_x000a_https://www.servocity.com/5mm-0-770-clamping-hub/"/>
        <s v="https://www.servocity.com/orange-4-00-precision-disk-wheels/_x000a_https://www.servocity.com/orange-4-00-precision-disk-wheels/"/>
        <s v="https://www.servocity.com/32-pitch-96-tooth-delrin-hub-mount-spur-gear/_x000a_https://www.servocity.com/32-pitch-96-tooth-delrin-hub-mount-spur-gear/"/>
        <s v="https://www.servocity.com/25t-lightweight-hub-horn/_x000a_https://www.servocity.com/25t-lightweight-hub-horn/"/>
        <s v="https://www.servocity.com/20-100t-3-8-wide-xl-timing-belt/_x000a_https://www.servocity.com/20-100t-3-8-wide-xl-timing-belt/"/>
        <s v="https://www.servocity.com/5mm-0-770-set-screw-hub/_x000a_https://www.servocity.com/5mm-0-770-set-screw-hub/"/>
        <s v="https://www.servocity.com/timing-hub-pulley/_x000a_https://www.servocity.com/timing-hub-pulley/"/>
        <s v="https://www.servocity.com/4mm-0-770-set-screw-hub/_x000a_https://www.servocity.com/4mm-0-770-set-screw-hub/"/>
        <s v="https://www.servocity.com/25-6-650mm-8mm-lead-screw/_x000a_https://www.servocity.com/25-6-650mm-8mm-lead-screw/"/>
        <s v="https://www.servocity.com/4mm-15-tooth-pinion-pulley/_x000a_https://www.servocity.com/4mm-15-tooth-pinion-pulley/"/>
        <s v="https://www.servocity.com/8mm-lead-screw-nut-0-770-pattern/_x000a_https://www.servocity.com/8mm-lead-screw-nut-0-770-pattern/"/>
        <s v="https://www.servocity.com/yellow-3-00-precision-disk-wheels/_x000a_https://www.servocity.com/yellow-3-00-precision-disk-wheels/"/>
        <s v="https://www.servocity.com/30-150t-3-8-wide-xl-timing/_x000a_https://www.servocity.com/30-150t-3-8-wide-xl-timing/"/>
        <s v="https://www.servocity.com/32-pitch-36-tooth-delrin-hub-mount-spur-gear/_x000a_https://www.servocity.com/32-pitch-36-tooth-delrin-hub-mount-spur-gear/"/>
        <s v="https://www.servocity.com/32p-16-tooth-25t-3f-spline-servo-mount-gear-acetyl/_x000a_https://www.servocity.com/32p-16-tooth-25t-3f-spline-servo-mount-gear-acetyl/"/>
        <s v="https://www.servocity.com/11-81-300mm-8mm-lead-screw/_x000a_https://www.servocity.com/11-81-300mm-8mm-lead-screw/"/>
        <s v="https://www.servocity.com/8mm-x-300mm-stainless-steel-precision-shafting/_x000a_https://www.servocity.com/8mm-x-300mm-stainless-steel-precision-shafting/"/>
        <s v="https://www.servocity.com/5mm-x-300mm-stainless-steel-precision-shafting/_x000a_https://www.servocity.com/5mm-x-300mm-stainless-steel-precision-shafting/"/>
        <s v="https://www.servocity.com/5mm-15-tooth-pinion-pulley/_x000a_https://www.servocity.com/5mm-15-tooth-pinion-pulley/"/>
        <s v="https://www.servocity.com/5mm-x-200mm-stainless-steel-precision-shafting/_x000a_https://www.servocity.com/5mm-x-200mm-stainless-steel-precision-shafting/"/>
        <s v="https://www.servocity.com/5mm-to-8mm-set-screw-shaft-coupler/_x000a_https://www.servocity.com/5mm-to-8mm-set-screw-shaft-coupler/"/>
        <s v="https://www.servocity.com/5mm-to-5mm-set-screw-shaft-coupler/_x000a_https://www.servocity.com/5mm-to-5mm-set-screw-shaft-coupler/"/>
        <s v="https://www.servocity.com/4mm-to-8mm-set-screw-shaft-coupler/_x000a_https://www.servocity.com/4mm-to-8mm-set-screw-shaft-coupler/"/>
        <s v="https://www.servocity.com/4mm-to-5mm-set-screw-shaft-coupler/_x000a_https://www.servocity.com/4mm-to-5mm-set-screw-shaft-coupler/"/>
        <s v="https://www.farnell.com/datasheets/2825676.pdf?_ga=2.40542370.1625439276.1643740824-1309508182.1643740824&amp;_gac=1.237593908.1643741558.EAIaIQobChMIkrix_JXf9QIV445bCh0SQA9LEAQYCiABEgImkPD_BwE_x000a_https://www.farnell.com/datasheets/2825676.pdf?_ga=2.40542370.1625439276.1643740824-1309508182.1643740824&amp;_gac=1.237593908.1643741558.EAIaIQobChMIkrix_JXf9QIV445bCh0SQA9LEAQYCiABEgImkPD_BwE"/>
        <s v="https://media.digikey.com/pdf/Data%20Sheets/Sparkfun%20PDFs/Triple_Axis_Accelerometer_Breakout_KX13x_Qwiic_Hookup_Guide_Web.pdf_x000a_https://media.digikey.com/pdf/Data%20Sheets/Sparkfun%20PDFs/Triple_Axis_Accelerometer_Breakout_KX13x_Qwiic_Hookup_Guide_Web.pdf"/>
        <s v="https://cdn-shop.adafruit.com/datasheets/eTape+Datasheet+12110215TC-12_040213.pdf_x000a_https://cdn-shop.adafruit.com/datasheets/eTape+Datasheet+12110215TC-12_040213.pdf"/>
        <s v="https://www.farnell.com/datasheets/3108758.pdf_x000a_https://www.farnell.com/datasheets/3108758.pdf"/>
        <s v="https://media.digikey.com/pdf/Data%20Sheets/Seeed%20Technology/101020055_Web.pdf_x000a_https://media.digikey.com/pdf/Data%20Sheets/Seeed%20Technology/101020055_Web.pdf"/>
        <s v="https://www.farnell.com/datasheets/3622888.pdf?_ga=2.35175265.1199476505.1647878618-1962539389.1647878618_x000a_https://www.farnell.com/datasheets/3622888.pdf?_ga=2.35175265.1199476505.1647878618-1962539389.1647878618"/>
        <s v="https://www.farnell.com/datasheets/3622888.pdf?_ga=2.189387499.1199476505.1647878618-1962539389.1647878618_x000a_https://www.farnell.com/datasheets/3622888.pdf?_ga=2.189387499.1199476505.1647878618-1962539389.1647878618"/>
        <s v="https://www.farnell.com/datasheets/1671194.pdf?_ga=2.227202397.1199476505.1647878618-1962539389.1647878618_x000a_https://www.farnell.com/datasheets/1671194.pdf?_ga=2.227202397.1199476505.1647878618-1962539389.1647878618"/>
        <s v="https://www.farnell.com/datasheets/2267179.pdf?_ga=2.1226225.1199476505.1647878618-1962539389.1647878618_x000a_https://www.farnell.com/datasheets/2267179.pdf?_ga=2.1226225.1199476505.1647878618-1962539389.1647878618"/>
        <s v="https://www.ttelectronics.com/TTElectronics/media/ProductFiles/Datasheets/OPB100.pdf_x000a_https://www.ttelectronics.com/TTElectronics/media/ProductFiles/Datasheets/OPB100.pdf"/>
        <s v="https://learn.adafruit.com/adafruit-as7262-6-channel-visible-light-sensor_x000a_https://learn.adafruit.com/adafruit-as7262-6-channel-visible-light-sensor"/>
        <s v="https://www.diodes.com/assets/Datasheets/products_inactive_data/AH372.pdf_x000a_https://www.diodes.com/assets/Datasheets/products_inactive_data/AH372.pdf"/>
        <s v="https://www.littelfuse.com/~/media/electronics/datasheets/reed_sensors/littelfuse_reed_sensors_59145_datasheet.pdf.pdf_x000a_https://www.littelfuse.com/~/media/electronics/datasheets/reed_sensors/littelfuse_reed_sensors_59145_datasheet.pdf.pdf"/>
        <s v="https://www.alliedelec.com/m/d/604a99fd8238f277d7fc63335c9284e5.pdf_x000a_https://www.alliedelec.com/m/d/604a99fd8238f277d7fc63335c9284e5.pdf"/>
        <s v="https://media.digikey.com/pdf/Data%20Sheets/Seeed%20Technology/114991177_Web.pdf_x000a_https://media.digikey.com/pdf/Data%20Sheets/Seeed%20Technology/114991177_Web.pdf"/>
        <s v="https://media.digikey.com/pdf/Data%20Sheets/DFRobot%20PDFs/SER0043_Web.pdf_x000a_https://media.digikey.com/pdf/Data%20Sheets/DFRobot%20PDFs/SER0043_Web.pdf"/>
        <s v="https://www.kingbrightusa.com/images/catalog/SPEC/TC07-11EWA.pdf_x000a_https://www.kingbrightusa.com/images/catalog/SPEC/TC07-11EWA.pdf"/>
        <s v="https://www.we-online.com/katalog/datasheet/60900213421.pdf_x000a_https://www.we-online.com/katalog/datasheet/60900213421.pdf"/>
        <s v="https://www.ttelectronics.com/TTElectronics/media/ProductFiles/Datasheet/EN11.pdf_x000a_https://www.ttelectronics.com/TTElectronics/media/ProductFiles/Datasheet/EN11.pdf"/>
        <s v="https://media.digikey.com/pdf/Data%20Sheets/Pimoroni%20PDFs/PIM357_Web.pdf_x000a_https://media.digikey.com/pdf/Data%20Sheets/Pimoroni%20PDFs/PIM357_Web.pdf"/>
        <s v="https://www.mouser.ca/datasheet/2/813/ZHO_0420S_05A4_5_SPECIFICATION-2489929.pdf_x000a_https://www.mouser.ca/datasheet/2/813/ZHO_0420S_05A4_5_SPECIFICATION-2489929.pdf"/>
        <s v="https://www.mouser.ca/pdfDocs/ProductOverview-DFRobot-DFR0379.pdf_x000a_https://www.mouser.ca/pdfDocs/ProductOverview-DFRobot-DFR0379.pdf"/>
        <s v="https://wiki.seeedstudio.com/433Mhz_RF_Link_Kit/_x000a_https://wiki.seeedstudio.com/433Mhz_RF_Link_Kit/"/>
        <s v="https://www.keyelco.com/userAssets/file/M65p74.pdf_x000a_https://www.keyelco.com/userAssets/file/M65p74.pdf"/>
        <s v="https://www.mouser.ca/datasheet/2/737/adafruit_airlift_breakout-2489664.pdf_x000a_https://www.mouser.ca/datasheet/2/737/adafruit_airlift_breakout-2489664.pdf"/>
        <s v="https://www.mouser.ca/datasheet/2/737/Adafruit_4541_Data_Sheet-2999010.pdf_x000a_https://www.mouser.ca/datasheet/2/737/Adafruit_4541_Data_Sheet-2999010.pdf"/>
        <s v="https://cdn.robotshop.com/media/s/spa/rb-spa-1359/pdf/hx711-load-cell-amplifier-datasheet.pdf_x000a_https://cdn.robotshop.com/media/s/spa/rb-spa-1359/pdf/hx711-load-cell-amplifier-datasheet.pdf"/>
        <s v="https://www.mouser.ca/datasheet/2/813/M260-2488942.pdf_x000a_https://www.mouser.ca/datasheet/2/813/M260-2488942.pdf"/>
        <s v="https://mm.digikey.com/Volume0/opasdata/d220001/medias/docus/2234/1020-15-003-001_Spec.pdf_x000a_https://mm.digikey.com/Volume0/opasdata/d220001/medias/docus/2234/1020-15-003-001_Spec.pdf"/>
        <s v="https://media.digikey.com/pdf/Data%20Sheets/Seeed%20Technology/114090050_Web.pdf_x000a_https://media.digikey.com/pdf/Data%20Sheets/Seeed%20Technology/114090050_Web.pdf"/>
        <s v="https://www.mouser.ca/datasheet/2/307/en-d2fs-270873.pdf_x000a_https://www.mouser.ca/datasheet/2/307/en-d2fs-270873.pdf"/>
        <s v="https://media.digikey.com/pdf/Data%20Sheets/Assmann%20PDFs/AK672M_2-x-R.pdf_x000a_https://media.digikey.com/pdf/Data%20Sheets/Assmann%20PDFs/AK672M_2-x-R.pdf"/>
        <s v="https://shop.pimoroni.com/products/breadboard-3-3v-5v-power-supply-module?variant=39364762370131_x000a_https://shop.pimoroni.com/products/breadboard-3-3v-5v-power-supply-module?variant=39364762370131"/>
        <s v="https://media.digikey.com/pdf/Data%20Sheets/Sunon%20PDFs/EF80251S1-1000U-A99.pdf_x000a_https://media.digikey.com/pdf/Data%20Sheets/Sunon%20PDFs/EF80251S1-1000U-A99.pdf"/>
        <s v="https://www.ttelectronics.com/TTElectronics/media/ProductFiles/Datasheet/OPB100.pdf_x000a_https://www.ttelectronics.com/TTElectronics/media/ProductFiles/Datasheet/OPB100.pdf"/>
        <s v="https://www.farnell.com/datasheets/1599273.pdf_x000a_https://www.farnell.com/datasheets/1599273.pdf"/>
        <s v="https://media.digikey.com/pdf/Data%20Sheets/Adafruit%20PDFs/169_Web.pdf_x000a_https://media.digikey.com/pdf/Data%20Sheets/Adafruit%20PDFs/169_Web.pdf"/>
        <s v="https://www.amazon.ca/dp/B0792BW2VH?ref=ppx_yo2ov_dt_b_product_details&amp;th=1_x000a_https://www.amazon.ca/dp/B0792BW2VH?ref=ppx_yo2ov_dt_b_product_details&amp;th=1"/>
        <s v="https://www.amazon.ca/dp/B07FS74QTZ?ref=ppx_yo2ov_dt_b_product_details&amp;th=1_x000a_https://www.amazon.ca/dp/B07FS74QTZ?ref=ppx_yo2ov_dt_b_product_details&amp;th=1"/>
        <s v="https://product.tdk.com/en/system/files?file=dam/doc/product/sw_piezo/sw_piezo/piezo-buzzer/catalog/piezoelectronic_buzzer_ps_en.pdf_x000a_https://product.tdk.com/en/system/files?file=dam/doc/product/sw_piezo/sw_piezo/piezo-buzzer/catalog/piezoelectronic_buzzer_ps_en.pdf"/>
        <s v="https://cdn-shop.adafruit.com/product-files/4547/4547_C144374-001+vertical+pump+specs.jpg_x000a_https://cdn-shop.adafruit.com/product-files/4547/4547_C144374-001+vertical+pump+specs.jpg"/>
        <s v="https://mm.digikey.com/Volume0/opasdata/d220001/medias/docus/5718/FIT0563_v1.pdf_x000a_https://mm.digikey.com/Volume0/opasdata/d220001/medias/docus/5718/FIT0563_v1.pdf"/>
        <s v="https://howtomechatronics.com/tutorials/arduino/arduino-wireless-communication-nrf24l01-tutorial/_x000a_https://howtomechatronics.com/tutorials/arduino/arduino-wireless-communication-nrf24l01-tutorial/"/>
        <s v="https://datasheets.raspberrypi.com/picow/pico-w-datasheet.pdf_x000a_https://datasheets.raspberrypi.com/picow/pico-w-datasheet.pdf"/>
        <s v="https://www.raspberrypi.com/products/raspberry-pi-3-model-b-plus/_x000a_https://www.raspberrypi.com/products/raspberry-pi-3-model-b-plus/"/>
        <s v="https://www.servocity.com/8mm-id-x-24mm-length-linear-ball-bearings/_x000a_https://www.servocity.com/8mm-id-x-24mm-length-linear-ball-bearings/"/>
        <s v="https://www.openimpulse.com/blog/wp-content/uploads/wpsc/downloadables/MP1584-Datasheet.pdf_x000a_https://www.openimpulse.com/blog/wp-content/uploads/wpsc/downloadables/MP1584-Datasheet.pdf" u="1"/>
        <s v="https://www.mouser.ca/datasheet/2/238/ant_w63rpc1_ds-1927937.pdf_x000a_https://www.mouser.ca/datasheet/2/238/ant_w63rpc1_ds-1927937.pdf" u="1"/>
        <s v="https://prod-edam.honeywell.com/content/dam/honeywell-edam/sps/siot/en-us/products/sensors/pressure-sensors/board-mount-pressure-sensors/common/documents/sps-siot-board-mount-pressure-tbp-nbp-series-datasheet-3008328-ciid-179658.pdf_x000a_https://prod-edam.honeywell.com/content/dam/honeywell-edam/sps/siot/en-us/products/sensors/pressure-sensors/board-mount-pressure-sensors/common/documents/sps-siot-board-mount-pressure-tbp-nbp-series-datasheet-3008328-ciid-179658.pdf" u="1"/>
        <s v="https://wiki.seeedstudio.com/Grove-Capacitive_Moisture_Sensor-Corrosion-Resistant/_x000a_https://wiki.seeedstudio.com/Grove-Capacitive_Moisture_Sensor-Corrosion-Resistant/" u="1"/>
        <s v="https://learn.adafruit.com/adafruit-rfm69hcw-and-rfm96-rfm95-rfm98-lora-packet-padio-breakouts_x000a_https://learn.adafruit.com/adafruit-rfm69hcw-and-rfm96-rfm95-rfm98-lora-packet-padio-breakouts" u="1"/>
        <s v="https://www.adafruit.com/product/3100_x000a_https://www.adafruit.com/product/3100" u="1"/>
        <s v="https://canada.newark.com/multicomp-pro/mcl053pd/led-red-t-1-3-4-5mm-2-8mcd-650nm/dp/14N9418_x000a_https://canada.newark.com/multicomp-pro/mcl053pd/led-red-t-1-3-4-5mm-2-8mcd-650nm/dp/14N9418" u="1"/>
        <s v="https://canada.newark.com/broadcom/hlmp-3507/led-5mm-green-4-2mcd-569nm/dp/40K0061_x000a_https://canada.newark.com/broadcom/hlmp-3507/led-5mm-green-4-2mcd-569nm/dp/40K0061" u="1"/>
        <s v="https://www.farnell.com/datasheets/1927619.pdf?_ga=2.24458937.2054498849.1629474812-1963937051.1613669872&amp;_gac=1.158316872.1629474812.Cj0KCQjwpf2IBhDkARIsAGVo0D3Nq0169lJZwweYV3jyhYvTXDjXJhqs6YIh56RBfJMwRF8xWkWAw-8aAg8CEALw_wcB_x000a_https://www.farnell.com/datasheets/1927619.pdf?_ga=2.24458937.2054498849.1629474812-1963937051.1613669872&amp;_gac=1.158316872.1629474812.Cj0KCQjwpf2IBhDkARIsAGVo0D3Nq0169lJZwweYV3jyhYvTXDjXJhqs6YIh56RBfJMwRF8xWkWAw-8aAg8CEALw_wcB" u="1"/>
        <s v="https://www.pololu.com/file/download/a4988_DMOS_microstepping_driver_with_translator.pdf?file_id=0J450_x000a_https://www.pololu.com/file/download/a4988_DMOS_microstepping_driver_with_translator.pdf?file_id=0J450" u="1"/>
        <s v="https://akizukidenshi.com/download/ds/aosong/AM2320.pdf_x000a_https://akizukidenshi.com/download/ds/aosong/AM2320.pdf" u="1"/>
        <s v="https://www.farnell.com/datasheets/1700901.pdf_x000a_https://www.farnell.com/datasheets/1700901.pdf" u="1"/>
        <s v="https://www.farnell.com/datasheets/2572158.pdf_x000a_https://www.farnell.com/datasheets/2572158.pdf" u="1"/>
        <s v="https://www.adafruit.com/product/4479_x000a_https://www.adafruit.com/product/4479" u="1"/>
        <s v="https://learn.adafruit.com/adafruit-bno055-absolute-orientation-sensor/downloads_x000a_https://learn.adafruit.com/adafruit-bno055-absolute-orientation-sensor/downloads" u="1"/>
        <s v="https://www.farnell.com/datasheets/3176105.pdf_x000a_https://www.farnell.com/datasheets/3176105.pdf" u="1"/>
        <s v="https://www.ttelectronics.com/TTElectronics/media/ProductFiles/Datasheets/P160.pdf_x000a_https://www.ttelectronics.com/TTElectronics/media/ProductFiles/Datasheets/P160.pdf" u="1"/>
        <s v="https://mm.digikey.com/Volume0/opasdata/d220001/medias/docus/2234/1020-15-003-001_Spec.pdf_x000a_datasheet" u="1"/>
        <s v="https://www.americanbrightled.com/pdffiles/ir-uv/ir/BPC-817.pdf_x000a_https://www.americanbrightled.com/pdffiles/ir-uv/ir/BPC-817.pdf" u="1"/>
      </sharedItems>
    </cacheField>
    <cacheField name="Stock" numFmtId="0">
      <sharedItems containsString="0" containsBlank="1" containsNumber="1" containsInteger="1" minValue="1" maxValue="5000"/>
    </cacheField>
    <cacheField name="Fullname" numFmtId="0">
      <sharedItems/>
    </cacheField>
    <cacheField name="RentalCost" numFmtId="0">
      <sharedItems containsSemiMixedTypes="0" containsString="0" containsNumber="1" minValue="0" maxValue="29.132000000000001" count="183">
        <n v="2.72"/>
        <n v="4.6100000000000003"/>
        <n v="0.21"/>
        <n v="0.33"/>
        <n v="1.21"/>
        <n v="1.18"/>
        <n v="2"/>
        <n v="4.74"/>
        <n v="2.1"/>
        <n v="0.19"/>
        <n v="2.2200000000000002"/>
        <n v="0.35"/>
        <n v="0.17"/>
        <n v="0.11"/>
        <n v="0.16"/>
        <n v="1.1000000000000001"/>
        <n v="1.24"/>
        <n v="1.47"/>
        <n v="7.0000000000000007E-2"/>
        <n v="0.44"/>
        <n v="0.12"/>
        <n v="0.2"/>
        <n v="0.42"/>
        <n v="0.45"/>
        <n v="0.83"/>
        <n v="0.89"/>
        <n v="0"/>
        <n v="1.45"/>
        <n v="0.71"/>
        <n v="2.4900000000000002"/>
        <n v="0.01"/>
        <n v="0.5"/>
        <n v="0.86"/>
        <n v="0.1"/>
        <n v="0.09"/>
        <n v="0.18"/>
        <n v="0.64"/>
        <n v="0.37"/>
        <n v="0.05"/>
        <n v="0.85"/>
        <n v="0.73"/>
        <n v="0.04"/>
        <n v="2.69"/>
        <n v="0.56000000000000005"/>
        <n v="0.81"/>
        <n v="1.08"/>
        <n v="5.2060000000000004"/>
        <n v="0.442"/>
        <n v="0.78600000000000003"/>
        <n v="1.31"/>
        <n v="2.274"/>
        <n v="0.73799999999999999"/>
        <n v="0.498"/>
        <n v="0.372"/>
        <n v="1.012"/>
        <n v="1.8140000000000001"/>
        <n v="13.208"/>
        <n v="11.71"/>
        <n v="1.526"/>
        <n v="2.4780000000000002"/>
        <n v="3.3340000000000001"/>
        <n v="9.1180000000000003"/>
        <n v="11.7"/>
        <n v="1.6459999999999999"/>
        <n v="3.4140000000000001"/>
        <n v="0.36799999999999999"/>
        <n v="6.8440000000000003"/>
        <n v="13.272"/>
        <n v="6.0039999999999996"/>
        <n v="0.69599999999999995"/>
        <n v="1.452"/>
        <n v="0.754"/>
        <n v="4.3460000000000001"/>
        <n v="6.1820000000000004"/>
        <n v="4.0839999999999996"/>
        <n v="1.274"/>
        <n v="6.6779999999999999"/>
        <n v="4.2000000000000003E-2"/>
        <n v="2.9660000000000002"/>
        <n v="0.32600000000000001"/>
        <n v="19.8"/>
        <n v="0.124"/>
        <n v="6.4000000000000001E-2"/>
        <n v="6.6000000000000003E-2"/>
        <n v="0.32400000000000001"/>
        <n v="2.4E-2"/>
        <n v="0.65600000000000003"/>
        <n v="3.8439999999999999"/>
        <n v="0.53"/>
        <n v="0.45800000000000002"/>
        <n v="0.42399999999999999"/>
        <n v="14.208"/>
        <n v="2.3439999999999999"/>
        <n v="2.262"/>
        <n v="0.30399999999999999"/>
        <n v="0.26600000000000001"/>
        <n v="5.1980000000000004"/>
        <n v="0.97599999999999998"/>
        <n v="1.9239999999999999"/>
        <n v="1.524"/>
        <n v="1.5580000000000001"/>
        <n v="1.8720000000000001"/>
        <n v="2.39"/>
        <n v="2.0539999999999998"/>
        <n v="1.986"/>
        <n v="2.3239999999999998"/>
        <n v="1.42"/>
        <n v="1.794"/>
        <n v="1.6859999999999999"/>
        <n v="2.62"/>
        <n v="1.476"/>
        <n v="4.1920000000000002"/>
        <n v="2.6920000000000002"/>
        <n v="2.3940000000000001"/>
        <n v="1.49"/>
        <n v="1.29"/>
        <n v="1.1599999999999999"/>
        <n v="1.496"/>
        <n v="0.76600000000000001"/>
        <n v="0.61399999999999999"/>
        <n v="1.494"/>
        <n v="3.13"/>
        <n v="5.0540000000000003"/>
        <n v="13.231999999999999"/>
        <n v="3.86"/>
        <n v="2.5859999999999999"/>
        <n v="2.0259999999999998"/>
        <n v="3.472"/>
        <n v="0.13"/>
        <n v="1.718"/>
        <n v="1.298"/>
        <n v="7.23"/>
        <n v="0.16200000000000001"/>
        <n v="1.3480000000000001"/>
        <n v="2.5"/>
        <n v="1.5660000000000001"/>
        <n v="1.02"/>
        <n v="2.4020000000000001"/>
        <n v="7.45"/>
        <n v="1.698"/>
        <n v="1.68"/>
        <n v="0.26"/>
        <n v="0.15"/>
        <n v="29.132000000000001"/>
        <n v="1.3540000000000001"/>
        <n v="0.66800000000000004"/>
        <n v="0.41199999999999998"/>
        <n v="0.47"/>
        <n v="0.22600000000000001"/>
        <n v="0.76400000000000001"/>
        <n v="2.8540000000000001"/>
        <n v="2.38"/>
        <n v="2.7"/>
        <n v="10.28"/>
        <n v="2.024"/>
        <n v="1.3660000000000001"/>
        <n v="4.97"/>
        <n v="8.9480000000000004"/>
        <n v="0.152"/>
        <n v="1.1180000000000001"/>
        <n v="3.49"/>
        <n v="0.80800000000000005"/>
        <n v="2.1480000000000001"/>
        <n v="20"/>
        <n v="0.93200000000000005"/>
        <n v="1.84"/>
        <n v="0.56799999999999995"/>
        <n v="0.65800000000000003" u="1"/>
        <n v="8.44" u="1"/>
        <n v="0.8" u="1"/>
        <n v="0.06" u="1"/>
        <n v="0.32" u="1"/>
        <n v="0.28999999999999998" u="1"/>
        <n v="1.954" u="1"/>
        <n v="0.38200000000000001" u="1"/>
        <n v="0.17799999999999999" u="1"/>
        <n v="2.1240000000000001" u="1"/>
        <n v="1.702" u="1"/>
        <n v="0.17199999999999999" u="1"/>
        <n v="13.75" u="1"/>
        <n v="2.3460000000000001" u="1"/>
        <n v="7.3999999999999996E-2" u="1"/>
        <n v="7.13" u="1"/>
      </sharedItems>
    </cacheField>
    <cacheField name="Rental" numFmtId="0">
      <sharedItems count="2">
        <s v="Final Sale"/>
        <s v="Rental"/>
      </sharedItems>
    </cacheField>
    <cacheField name="IDMECHATRONICS" numFmtId="0">
      <sharedItems count="303">
        <s v="6 MECHATRONICS"/>
        <s v="7 MECHATRONICS"/>
        <s v="9 MECHATRONICS"/>
        <s v="10 MECHATRONICS"/>
        <s v="11 MECHATRONICS"/>
        <s v="12 MECHATRONICS"/>
        <s v="13 MECHATRONICS"/>
        <s v="15 MECHATRONICS"/>
        <s v="18 MECHATRONICS"/>
        <s v="21 MECHATRONICS"/>
        <s v="31 MECHATRONICS"/>
        <s v="40 MECHATRONICS"/>
        <s v="43 MECHATRONICS"/>
        <s v="44 MECHATRONICS"/>
        <s v="45 MECHATRONICS"/>
        <s v="56 MECHATRONICS"/>
        <s v="57 MECHATRONICS"/>
        <s v="58 MECHATRONICS"/>
        <s v="59 MECHATRONICS"/>
        <s v="60 MECHATRONICS"/>
        <s v="65 MECHATRONICS"/>
        <s v="73 MECHATRONICS"/>
        <s v="75 MECHATRONICS"/>
        <s v="78 MECHATRONICS"/>
        <s v="79 MECHATRONICS"/>
        <s v="80 MECHATRONICS"/>
        <s v="81 MECHATRONICS"/>
        <s v="82 MECHATRONICS"/>
        <s v="83 MECHATRONICS"/>
        <s v="84 MECHATRONICS"/>
        <s v="85 MECHATRONICS"/>
        <s v="86 MECHATRONICS"/>
        <s v="87 MECHATRONICS"/>
        <s v="88 MECHATRONICS"/>
        <s v="89 MECHATRONICS"/>
        <s v="90 MECHATRONICS"/>
        <s v="91 MECHATRONICS"/>
        <s v="94 MECHATRONICS"/>
        <s v="95 MECHATRONICS"/>
        <s v="96 MECHATRONICS"/>
        <s v="97 MECHATRONICS"/>
        <s v="103 MECHATRONICS"/>
        <s v="111 MECHATRONICS"/>
        <s v="112 MECHATRONICS"/>
        <s v="113 MECHATRONICS"/>
        <s v="119 MECHATRONICS"/>
        <s v="120 MECHATRONICS"/>
        <s v="121 MECHATRONICS"/>
        <s v="122 MECHATRONICS"/>
        <s v="123 MECHATRONICS"/>
        <s v="124 MECHATRONICS"/>
        <s v="128 MECHATRONICS"/>
        <s v="157 MECHATRONICS"/>
        <s v="181 MECHATRONICS"/>
        <s v="182 MECHATRONICS"/>
        <s v="194 MECHATRONICS"/>
        <s v="195 MECHATRONICS"/>
        <s v="224 MECHATRONICS"/>
        <s v="225 MECHATRONICS"/>
        <s v="226 MECHATRONICS"/>
        <s v="227 MECHATRONICS"/>
        <s v="228 MECHATRONICS"/>
        <s v="229 MECHATRONICS"/>
        <s v="230 MECHATRONICS"/>
        <s v="231 MECHATRONICS"/>
        <s v="232 MECHATRONICS"/>
        <s v="233 MECHATRONICS"/>
        <s v="234 MECHATRONICS"/>
        <s v="235 MECHATRONICS"/>
        <s v="236 MECHATRONICS"/>
        <s v="237 MECHATRONICS"/>
        <s v="238 MECHATRONICS"/>
        <s v="239 MECHATRONICS"/>
        <s v="240 MECHATRONICS"/>
        <s v="241 MECHATRONICS"/>
        <s v="242 MECHATRONICS"/>
        <s v="243 MECHATRONICS"/>
        <s v="244 MECHATRONICS"/>
        <s v="245 MECHATRONICS"/>
        <s v="246 MECHATRONICS"/>
        <s v="247 MECHATRONICS"/>
        <s v="248 MECHATRONICS"/>
        <s v="249 MECHATRONICS"/>
        <s v="250 MECHATRONICS"/>
        <s v="251 MECHATRONICS"/>
        <s v="252 MECHATRONICS"/>
        <s v="253 MECHATRONICS"/>
        <s v="254 MECHATRONICS"/>
        <s v="255 MECHATRONICS"/>
        <s v="256 MECHATRONICS"/>
        <s v="257 MECHATRONICS"/>
        <s v="258 MECHATRONICS"/>
        <s v="259 MECHATRONICS"/>
        <s v="260 MECHATRONICS"/>
        <s v="261 MECHATRONICS"/>
        <s v="262 MECHATRONICS"/>
        <s v="263 MECHATRONICS"/>
        <s v="264 MECHATRONICS"/>
        <s v="265 MECHATRONICS"/>
        <s v="266 MECHATRONICS"/>
        <s v="267 MECHATRONICS"/>
        <s v="268 MECHATRONICS"/>
        <s v="269 MECHATRONICS"/>
        <s v="270 MECHATRONICS"/>
        <s v="271 MECHATRONICS"/>
        <s v="272 MECHATRONICS"/>
        <s v="273 MECHATRONICS"/>
        <s v="274 MECHATRONICS"/>
        <s v="275 MECHATRONICS"/>
        <s v="276 MECHATRONICS"/>
        <s v="277 MECHATRONICS"/>
        <s v="278 MECHATRONICS"/>
        <s v="279 MECHATRONICS"/>
        <s v="285 MECHATRONICS"/>
        <s v="286 MECHATRONICS"/>
        <s v="290 MECHATRONICS"/>
        <s v="295 MECHATRONICS"/>
        <s v="296 MECHATRONICS"/>
        <s v="298 MECHATRONICS"/>
        <s v="300 MECHATRONICS"/>
        <s v="310 MECHATRONICS"/>
        <s v="311 MECHATRONICS"/>
        <s v="314 MECHATRONICS"/>
        <s v="315 MECHATRONICS"/>
        <s v="316 MECHATRONICS"/>
        <s v="320 MECHATRONICS"/>
        <s v="322 MECHATRONICS"/>
        <s v="323 MECHATRONICS"/>
        <s v="329 MECHATRONICS"/>
        <s v="332 MECHATRONICS"/>
        <s v="337 MECHATRONICS"/>
        <s v="1 MECHATRONICS"/>
        <s v="2 MECHATRONICS"/>
        <s v="3 MECHATRONICS"/>
        <s v="4 MECHATRONICS"/>
        <s v="5 MECHATRONICS"/>
        <s v="8 MECHATRONICS"/>
        <s v="14 MECHATRONICS"/>
        <s v="17 MECHATRONICS"/>
        <s v="19 MECHATRONICS"/>
        <s v="22 MECHATRONICS"/>
        <s v="23 MECHATRONICS"/>
        <s v="24 MECHATRONICS"/>
        <s v="25 MECHATRONICS"/>
        <s v="26 MECHATRONICS"/>
        <s v="27 MECHATRONICS"/>
        <s v="28 MECHATRONICS"/>
        <s v="29 MECHATRONICS"/>
        <s v="30 MECHATRONICS"/>
        <s v="32 MECHATRONICS"/>
        <s v="34 MECHATRONICS"/>
        <s v="35 MECHATRONICS"/>
        <s v="36 MECHATRONICS"/>
        <s v="37 MECHATRONICS"/>
        <s v="39 MECHATRONICS"/>
        <s v="46 MECHATRONICS"/>
        <s v="47 MECHATRONICS"/>
        <s v="48 MECHATRONICS"/>
        <s v="49 MECHATRONICS"/>
        <s v="50 MECHATRONICS"/>
        <s v="51 MECHATRONICS"/>
        <s v="52 MECHATRONICS"/>
        <s v="53 MECHATRONICS"/>
        <s v="54 MECHATRONICS"/>
        <s v="55 MECHATRONICS"/>
        <s v="63 MECHATRONICS"/>
        <s v="64 MECHATRONICS"/>
        <s v="66 MECHATRONICS"/>
        <s v="67 MECHATRONICS"/>
        <s v="68 MECHATRONICS"/>
        <s v="69 MECHATRONICS"/>
        <s v="70 MECHATRONICS"/>
        <s v="71 MECHATRONICS"/>
        <s v="72 MECHATRONICS"/>
        <s v="74 MECHATRONICS"/>
        <s v="76 MECHATRONICS"/>
        <s v="77 MECHATRONICS"/>
        <s v="98 MECHATRONICS"/>
        <s v="101 MECHATRONICS"/>
        <s v="107 MECHATRONICS"/>
        <s v="108 MECHATRONICS"/>
        <s v="109 MECHATRONICS"/>
        <s v="110 MECHATRONICS"/>
        <s v="114 MECHATRONICS"/>
        <s v="115 MECHATRONICS"/>
        <s v="116 MECHATRONICS"/>
        <s v="117 MECHATRONICS"/>
        <s v="118 MECHATRONICS"/>
        <s v="126 MECHATRONICS"/>
        <s v="127 MECHATRONICS"/>
        <s v="129 MECHATRONICS"/>
        <s v="130 MECHATRONICS"/>
        <s v="131 MECHATRONICS"/>
        <s v="132 MECHATRONICS"/>
        <s v="133 MECHATRONICS"/>
        <s v="134 MECHATRONICS"/>
        <s v="135 MECHATRONICS"/>
        <s v="136 MECHATRONICS"/>
        <s v="137 MECHATRONICS"/>
        <s v="138 MECHATRONICS"/>
        <s v="139 MECHATRONICS"/>
        <s v="140 MECHATRONICS"/>
        <s v="141 MECHATRONICS"/>
        <s v="142 MECHATRONICS"/>
        <s v="143 MECHATRONICS"/>
        <s v="144 MECHATRONICS"/>
        <s v="145 MECHATRONICS"/>
        <s v="146 MECHATRONICS"/>
        <s v="147 MECHATRONICS"/>
        <s v="148 MECHATRONICS"/>
        <s v="149 MECHATRONICS"/>
        <s v="150 MECHATRONICS"/>
        <s v="151 MECHATRONICS"/>
        <s v="152 MECHATRONICS"/>
        <s v="153 MECHATRONICS"/>
        <s v="154 MECHATRONICS"/>
        <s v="155 MECHATRONICS"/>
        <s v="156 MECHATRONICS"/>
        <s v="158 MECHATRONICS"/>
        <s v="164 MECHATRONICS"/>
        <s v="165 MECHATRONICS"/>
        <s v="167 MECHATRONICS"/>
        <s v="168 MECHATRONICS"/>
        <s v="170 MECHATRONICS"/>
        <s v="171 MECHATRONICS"/>
        <s v="172 MECHATRONICS"/>
        <s v="173 MECHATRONICS"/>
        <s v="174 MECHATRONICS"/>
        <s v="175 MECHATRONICS"/>
        <s v="176 MECHATRONICS"/>
        <s v="178 MECHATRONICS"/>
        <s v="179 MECHATRONICS"/>
        <s v="183 MECHATRONICS"/>
        <s v="184 MECHATRONICS"/>
        <s v="185 MECHATRONICS"/>
        <s v="186 MECHATRONICS"/>
        <s v="187 MECHATRONICS"/>
        <s v="188 MECHATRONICS"/>
        <s v="189 MECHATRONICS"/>
        <s v="190 MECHATRONICS"/>
        <s v="192 MECHATRONICS"/>
        <s v="193 MECHATRONICS"/>
        <s v="196 MECHATRONICS"/>
        <s v="197 MECHATRONICS"/>
        <s v="198 MECHATRONICS"/>
        <s v="203 MECHATRONICS"/>
        <s v="280 MECHATRONICS"/>
        <s v="281 MECHATRONICS"/>
        <s v="282 MECHATRONICS"/>
        <s v="283 MECHATRONICS"/>
        <s v="284 MECHATRONICS"/>
        <s v="287 MECHATRONICS"/>
        <s v="288 MECHATRONICS"/>
        <s v="289 MECHATRONICS"/>
        <s v="297 MECHATRONICS"/>
        <s v="299 MECHATRONICS"/>
        <s v="301 MECHATRONICS"/>
        <s v="303 MECHATRONICS"/>
        <s v="304 MECHATRONICS"/>
        <s v="305 MECHATRONICS"/>
        <s v="306 MECHATRONICS"/>
        <s v="307 MECHATRONICS"/>
        <s v="308 MECHATRONICS"/>
        <s v="312 MECHATRONICS"/>
        <s v="313 MECHATRONICS"/>
        <s v="317 MECHATRONICS"/>
        <s v="324 MECHATRONICS"/>
        <s v="325 MECHATRONICS"/>
        <s v="327 MECHATRONICS"/>
        <s v="328 MECHATRONICS"/>
        <s v="330 MECHATRONICS"/>
        <s v="333 MECHATRONICS"/>
        <s v="334 MECHATRONICS"/>
        <s v="335 MECHATRONICS"/>
        <s v="336 MECHATRONICS"/>
        <s v="105 MECHATRONICS" u="1"/>
        <s v="20 MECHATRONICS" u="1"/>
        <s v="38 MECHATRONICS" u="1"/>
        <s v="92 MECHATRONICS" u="1"/>
        <s v="93 MECHATRONICS" u="1"/>
        <s v="104 MECHATRONICS" u="1"/>
        <s v="191 MECHATRONICS" u="1"/>
        <s v="199 MECHATRONICS" u="1"/>
        <s v="200 MECHATRONICS" u="1"/>
        <s v="201 MECHATRONICS" u="1"/>
        <s v="202 MECHATRONICS" u="1"/>
        <s v="204 MECHATRONICS" u="1"/>
        <s v="205 MECHATRONICS" u="1"/>
        <s v="206 MECHATRONICS" u="1"/>
        <s v="291 MECHATRONICS" u="1"/>
        <s v="292 MECHATRONICS" u="1"/>
        <s v="293 MECHATRONICS" u="1"/>
        <s v="33 MECHATRONICS" u="1"/>
        <s v="99 MECHATRONICS" u="1"/>
        <s v="100 MECHATRONICS" u="1"/>
        <s v="106 MECHATRONICS" u="1"/>
        <s v="159 MECHATRONICS" u="1"/>
        <s v="160 MECHATRONICS" u="1"/>
        <s v="161 MECHATRONICS" u="1"/>
        <s v="162 MECHATRONICS" u="1"/>
        <s v="166 MECHATRONICS" u="1"/>
        <s v="180 MECHATRONICS" u="1"/>
        <s v="302 MECHATRONICS" u="1"/>
      </sharedItems>
    </cacheField>
    <cacheField name="OutOfStock" numFmtId="0">
      <sharedItems containsBlank="1" count="4">
        <s v="Out of Stock"/>
        <m/>
        <s v="Low Stock"/>
        <s v="-"/>
      </sharedItems>
    </cacheField>
    <cacheField name="QTY_Ordered" numFmtId="0">
      <sharedItems containsString="0" containsBlank="1" containsNumber="1" containsInteger="1" minValue="0" maxValue="1000" count="29">
        <n v="0"/>
        <n v="100"/>
        <n v="440"/>
        <n v="200"/>
        <n v="500"/>
        <n v="337"/>
        <m/>
        <n v="1000"/>
        <n v="50"/>
        <n v="40"/>
        <n v="93"/>
        <n v="60"/>
        <n v="30"/>
        <n v="75"/>
        <n v="20"/>
        <n v="16"/>
        <n v="10"/>
        <n v="9"/>
        <n v="39"/>
        <n v="80"/>
        <n v="70"/>
        <n v="35"/>
        <n v="4"/>
        <n v="90"/>
        <n v="250"/>
        <n v="25"/>
        <n v="5"/>
        <n v="120"/>
        <n v="1"/>
      </sharedItems>
    </cacheField>
    <cacheField name="Availability" numFmtId="0">
      <sharedItems count="1">
        <s v="visibl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x" refreshedDate="45735.410861111108" backgroundQuery="1" createdVersion="8" refreshedVersion="8" minRefreshableVersion="3" recordCount="111" xr:uid="{FD5AF6A5-3FE0-4F6B-9BFC-FCEC8C194BA0}">
  <cacheSource type="external" connectionId="5"/>
  <cacheFields count="11">
    <cacheField name="Filename" numFmtId="0">
      <sharedItems count="111">
        <s v="Arduino MEGA 2560 "/>
        <s v="Dual Motor driver L298N"/>
        <s v="USB Programming Cable"/>
        <s v="DCDC 3.5A 4.5-27V to 6V"/>
        <s v="RGB color sensor dev board "/>
        <s v="Ultrasonic sensor HCSR04 "/>
        <s v="UNO R3 protoshield"/>
        <s v="360 potentiometer"/>
        <s v="DCDC 5A, variable"/>
        <s v="Stepper Nema 17, 1.7A"/>
        <s v="DCDC 20A 5-40v to 1.2-36v"/>
        <s v="Joystick Cap "/>
        <s v="Joystick Potentiometer "/>
        <s v="Jumper FM"/>
        <s v="Line track TCRT5000"/>
        <s v="CH340C"/>
        <s v="Speaker amp"/>
        <s v="Geared wheel"/>
        <s v="Barrel plug F 5.5"/>
        <s v="Barrel plug M 5.5"/>
        <s v="Servo SG90"/>
        <s v="Gyro 3 axis GY521 "/>
        <s v="Micro USB jack F"/>
        <s v="Piezo Ceramic Element"/>
        <s v="IR Distance"/>
        <s v="Micro MetalGear N20 "/>
        <s v="Ball caster N20"/>
        <s v="Compass Magnetometer"/>
        <s v="Toggle Switch Single Pole "/>
        <s v="Jumper 4 Pin F-M"/>
        <s v="DCDC 2A 2-24v to 28v"/>
        <s v="Standoff - 50mm M3 M-F"/>
        <s v="Alligator Clip"/>
        <s v="AA  case - 4 slots"/>
        <s v="AA case - 5 slots"/>
        <s v="AA case - 6 slots"/>
        <s v="12v 6A power supply"/>
        <s v="Bluetooth HC05"/>
        <s v="Arduino UNO"/>
        <s v="DCDC 3A, 3.2-35V to 1.25-35V"/>
        <s v="DCDC 5A 3-35v to 5-45v"/>
        <s v="Servo MG995"/>
        <s v="Stepper Nema 17 2A"/>
        <s v="Uno R3 motor driver shield"/>
        <s v="DC 6V motor w wheel"/>
        <s v="Electrical tape"/>
        <s v="Jumper FF"/>
        <s v="Jumper MM"/>
        <s v="9v Battery"/>
        <s v="9V connector"/>
        <s v="CR2032 coin battery"/>
        <s v="Stranded Wire 1m"/>
        <s v="Arduino Nano"/>
        <s v="USB A to B"/>
        <s v="Capacitor (SPECIFY uf)"/>
        <s v="Tamiya set "/>
        <s v="Tamiya - wired"/>
        <s v="Lead Screw Stepper Coupler"/>
        <s v="6V DC + encoder 160 RPM"/>
        <s v="Jumper FF 20 cm"/>
        <s v="JST 3 pin"/>
        <s v="JST 4 pin"/>
        <s v="JST 5 pin"/>
        <s v="Diode"/>
        <s v="Drive wheel"/>
        <s v="Lead Screw +nut"/>
        <s v="LED Red"/>
        <s v="LED Green"/>
        <s v="Micro SD reader"/>
        <s v="Breadboard power supply module"/>
        <s v="Bluetooth HC06"/>
        <s v="hub 3mm"/>
        <s v="Potentiometer (SPECIFY TYPE)"/>
        <s v="Protoboard (SPECIFY SIZE)"/>
        <s v="Resistor (SPECIFY RESISTANCE)"/>
        <s v="Rotary Encoder"/>
        <s v="Optical Slot "/>
        <s v="Color"/>
        <s v="VGA Cameras"/>
        <s v="Standoff 10mm M3"/>
        <s v="Standoff 25mm M3"/>
        <s v="Standoff 20mm M3"/>
        <s v="Stepper Driver A4988"/>
        <s v="Toggle switch Dual Pole"/>
        <s v="Timing belt T2"/>
        <s v="Transistor"/>
        <s v="Voltage Regulator 5V"/>
        <s v="Voltage Regulator 3.3V"/>
        <s v="Ball Caster"/>
        <s v="DC Mount Bracket"/>
        <s v="Wheel DC"/>
        <s v="DC Wheel Coupler"/>
        <s v="WIFI ESP8266"/>
        <s v="Breadboard Small"/>
        <s v="Vertical Bearing Bracket KFL08"/>
        <s v="long header 4 pins"/>
        <s v="long header 6 pins"/>
        <s v="3d printer guide rail set"/>
        <s v="7.2V Turnigy NiMh Battery pack"/>
        <s v="Stepper Driver DRV8825"/>
        <s v="Syringe"/>
        <s v="Heat Sink for stepper motor driver A4988"/>
        <s v="6V DC 250 RPM"/>
        <s v="Timing belt pulley T2"/>
        <s v="Set of assorted resistor "/>
        <s v="Set of assorted capacitors"/>
        <s v="5V Photoresistor Relay Module"/>
        <s v="DC Gear Motor 6V 130RPM"/>
        <s v="DC Gear Motor 6V 170RPM"/>
        <s v="5V DC Step Motor"/>
        <s v="6V DC +Encoder" u="1"/>
      </sharedItems>
    </cacheField>
    <cacheField name="Stock" numFmtId="0">
      <sharedItems containsString="0" containsBlank="1" containsNumber="1" containsInteger="1" minValue="0" maxValue="3120"/>
    </cacheField>
    <cacheField name="Cost" numFmtId="0">
      <sharedItems containsString="0" containsBlank="1" containsNumber="1" minValue="0.01" maxValue="27.35" count="87">
        <n v="14.08"/>
        <n v="2.62"/>
        <n v="1.78"/>
        <n v="3.77"/>
        <n v="3.7"/>
        <n v="1.1299999999999999"/>
        <n v="1.42"/>
        <n v="0.37"/>
        <n v="1.82"/>
        <n v="13.93"/>
        <n v="12.9"/>
        <n v="0.3"/>
        <n v="0.75"/>
        <n v="0.06"/>
        <n v="0.78"/>
        <n v="0.53"/>
        <n v="7.25"/>
        <n v="2.12"/>
        <n v="0.56999999999999995"/>
        <n v="0.4"/>
        <n v="1.5"/>
        <n v="1.51"/>
        <n v="0.14000000000000001"/>
        <n v="0.47"/>
        <n v="6.57"/>
        <n v="3.75"/>
        <n v="1.75"/>
        <n v="3.92"/>
        <n v="0.28999999999999998"/>
        <n v="0.57999999999999996"/>
        <n v="1.38"/>
        <n v="0.45"/>
        <n v="2.89"/>
        <n v="2.21"/>
        <n v="15.09"/>
        <n v="5.96"/>
        <n v="5.49"/>
        <n v="1.27"/>
        <n v="5.19"/>
        <n v="4.8"/>
        <n v="13.59"/>
        <n v="4.3"/>
        <n v="17.239999999999998"/>
        <n v="1.2"/>
        <n v="4"/>
        <n v="0.76"/>
        <n v="0.63"/>
        <n v="0.15"/>
        <n v="3.49"/>
        <n v="0.03"/>
        <n v="0.6"/>
        <n v="1.69"/>
        <n v="1.43"/>
        <n v="12.17"/>
        <n v="7.0000000000000007E-2"/>
        <n v="0.36"/>
        <n v="0.01"/>
        <n v="1.1599999999999999"/>
        <n v="4.2699999999999996"/>
        <n v="0.02"/>
        <n v="0.67"/>
        <n v="1.4"/>
        <n v="5.93"/>
        <n v="2.65"/>
        <n v="1.04"/>
        <n v="0.82"/>
        <n v="6"/>
        <n v="2.88"/>
        <n v="0.17"/>
        <n v="0.25"/>
        <n v="0.16"/>
        <n v="1.83"/>
        <n v="0.5"/>
        <n v="1.45"/>
        <n v="0.43"/>
        <n v="0.26"/>
        <n v="2.2200000000000002"/>
        <n v="1.72"/>
        <n v="2.29"/>
        <n v="1.37"/>
        <n v="0.86"/>
        <n v="3.91"/>
        <n v="0.48"/>
        <n v="27.35"/>
        <n v="25.25"/>
        <m/>
        <n v="1.6"/>
      </sharedItems>
    </cacheField>
    <cacheField name="Image" numFmtId="0">
      <sharedItems containsBlank="1" longText="1"/>
    </cacheField>
    <cacheField name="Category" numFmtId="0">
      <sharedItems containsBlank="1" count="8">
        <s v="MCU"/>
        <s v="Motor"/>
        <s v="Connect"/>
        <s v="Power"/>
        <s v="Sensor"/>
        <s v="Module"/>
        <s v="Comp"/>
        <m/>
      </sharedItems>
    </cacheField>
    <cacheField name="Spec Sheet" numFmtId="0">
      <sharedItems containsBlank="1" count="34" longText="1">
        <s v="https://utoronto.sharepoint.com/:b:/r/sites/fase-myhalfabrication/MechDataSheets/arduinomega2560.pdf?csf=1&amp;web=1&amp;e=r6vFbQ_x000a_Datasheet"/>
        <s v="https://utoronto.sharepoint.com/:b:/r/sites/fase-myhalfabrication/MechDataSheets/L298N%20Motor%20Driver.pdf?csf=1&amp;web=1&amp;e=EXExv2_x000a_Datasheet"/>
        <m/>
        <s v="https://utoronto.sharepoint.com/:b:/r/sites/fase-myhalfabrication/MechDataSheets/TCS3472_RGB.pdf?csf=1&amp;web=1&amp;e=M6hh5V_x000a_Datasheet"/>
        <s v="https://utoronto.sharepoint.com/:b:/r/sites/fase-myhalfabrication/MechDataSheets/HCSR04_ultrasonic%20sensor.pdf?csf=1&amp;web=1&amp;e=hlEqWZ_x000a_Datasheet"/>
        <s v="https://utoronto.sharepoint.com/:b:/r/sites/fase-myhalfabrication/MechDataSheets/arduino%20uno.pdf?csf=1&amp;web=1&amp;e=57P5Rw_x000a_Datasheet"/>
        <s v="https://utoronto.sharepoint.com/:b:/r/sites/fase-myhalfabrication/MechDataSheets/DS_RP19_20_precision_potentiometer.pdf?csf=1&amp;web=1&amp;e=YhaBUu_x000a_Datasheet"/>
        <s v="https://utoronto.sharepoint.com/:b:/r/sites/fase-myhalfabrication/FFOffice/Shared%20Documents/MechDataSheets/nema17_stepper%20motor.pdf?csf=1&amp;web=1&amp;e=koGd2I_x000a_Datasheet"/>
        <s v="https://utoronto.sharepoint.com/:b:/r/sites/fase-myhalfabrication/MechDataSheets/DC-DC%2020A_stepdown_regulator.pdf?csf=1&amp;web=1&amp;e=w0UjlW_x000a_Datasheet"/>
        <s v="https://utoronto.sharepoint.com/:b:/r/sites/fase-myhalfabrication/MechDataSheets/DS_RP19_20_precision_potentiometer.pdf?csf=1&amp;web=1&amp;e=RCp9GG_x000a_Datasheet"/>
        <s v="https://utoronto.sharepoint.com/:b:/r/sites/fase-myhalfabrication/MechDataSheets/velleman-tcrt5000--line-tracking-sensor.pdf?csf=1&amp;web=1&amp;e=4MQRkZ_x000a_Datasheet"/>
        <s v="https://utoronto.sharepoint.com/:b:/r/sites/fase-myhalfabrication/MechDataSheets/CH340-USB%20bus%20converter%20chip.pdf?csf=1&amp;web=1&amp;e=5dZhpU_x000a_Datasheet"/>
        <s v="https://utoronto.sharepoint.com/:b:/r/sites/fase-myhalfabrication/MechDataSheets/sg90_servo%20motor.pdf?csf=1&amp;web=1&amp;e=ymgbpd_x000a_Datasheet"/>
        <s v="https://utoronto.sharepoint.com/:b:/r/sites/fase-myhalfabrication/MechDataSheets/micro%20usb%20jack%20F.pdf?csf=1&amp;web=1&amp;e=Me4Wlc_x000a_Datasheet"/>
        <s v="https://utoronto.sharepoint.com/:b:/r/sites/fase-myhalfabrication/MechDataSheets/GA12-N20_geared%20mini%20dc%20motor.pdf?csf=1&amp;web=1&amp;e=4MgSGI_x000a_Datasheet"/>
        <s v="https://utoronto.sharepoint.com/:b:/r/sites/fase-myhalfabrication/MechDataSheets/DC-DC%202A_stepdown%26encoder.pdf?csf=1&amp;web=1&amp;e=DUDJPj_x000a_Datasheet"/>
        <s v="https://utoronto.sharepoint.com/:b:/r/sites/fase-myhalfabrication/MechDataSheets/hc05_bluetooth.pdf?csf=1&amp;web=1&amp;e=nzXcG3_x000a_Datasheet"/>
        <s v="https://utoronto.sharepoint.com/:b:/r/sites/fase-myhalfabrication/MechDataSheets/arduino%20uno.pdf?csf=1&amp;web=1&amp;e=aGwuFv_x000a_Datasheet"/>
        <s v="https://utoronto.sharepoint.com/:i:/r/sites/fase-myhalfabrication/MechDataSheets/DC-DC%203-35V%20to%205V-45V.PNG?csf=1&amp;web=1&amp;e=mpoo7u_x000a_Datasheet"/>
        <s v="https://utoronto.sharepoint.com/:b:/r/sites/fase-myhalfabrication/MechDataSheets/MG995_ballbearing%20servo.pdf?csf=1&amp;web=1&amp;e=pTJaPv_x000a_Datasheet"/>
        <s v="https://utoronto.sharepoint.com/:b:/r/sites/fase-myhalfabrication/MechDataSheets/nema17_stepper%20motor.pdf?csf=1&amp;web=1&amp;e=G68Mgs_x000a_Datasheet"/>
        <s v="https://utoronto.sharepoint.com/:b:/r/sites/fase-myhalfabrication/MechDataSheets/adafruit-motor-shield.pdf?csf=1&amp;web=1&amp;e=0rp6wx_x000a_Datasheet"/>
        <s v="https://utoronto.sharepoint.com/:b:/r/sites/fase-myhalfabrication/MechDataSheets/ArduinoNano.pdf?csf=1&amp;web=1&amp;e=x2xxF0_x000a_Datasheet"/>
        <s v="https://utoronto.sharepoint.com/:b:/r/sites/fase-myhalfabrication/MechDataSheets/28819-6-15V-Gear-Motor-with-Encoder.pdf?csf=1&amp;web=1&amp;e=7ceayq_x000a_Datasheet"/>
        <s v="https://utoronto.sharepoint.com/:b:/r/sites/fase-myhalfabrication/MechDataSheets/mb102-ps_breadboard%20power%20supply%20module.pdf?csf=1&amp;web=1&amp;e=5M9JBy_x000a_Datasheet"/>
        <s v="https://utoronto.sharepoint.com/:b:/r/sites/fase-myhalfabrication/MechDataSheets/hc06_bluetooth.pdf?csf=1&amp;web=1&amp;e=bCtlCw_x000a_Datasheet"/>
        <s v="https://utoronto.sharepoint.com/:b:/r/sites/fase-myhalfabrication/MechDataSheets/A4988-Microstepping%20Driver%20with%20Translator.pdf?csf=1&amp;web=1&amp;e=IKafxd_x000a_Datasheets"/>
        <s v="https://utoronto.sharepoint.com/:b:/r/sites/fase-myhalfabrication/MechDataSheets/esp8266ex_wifi.pdf?csf=1&amp;web=1&amp;e=V5hwj3_x000a_Datasheet"/>
        <s v="https://utoronto.sharepoint.com/:i:/r/sites/fase-myhalfabrication/MechDataSheets/guide%20rail%20set_component%20list.PNG?csf=1&amp;web=1&amp;e=vNcUah_x000a_Datasheet"/>
        <s v="https://utoronto.sharepoint.com/:b:/r/sites/fase-myhalfabrication/MechDataSheets/drv8825_stepper%20motor%20control%20IC.pdf?csf=1&amp;web=1&amp;e=Feqes5_x000a_Datasheet"/>
        <s v="https://www.farnell.com/datasheets/17573.pdf?_ga=2.177128998.220814189.1648762235-1840094406.1646428942&amp;_gac=1.40701590.1648762235.EAIaIQobChMI26H796Xx9gIVGrbICh3RYw7EEAAYASAAEgLS-_D_BwE_x000a_https://www.farnell.com/datasheets/17573.pdf?_ga=2.177128998.220814189.1648762235-1840094406.1646428942&amp;_gac=1.40701590.1648762235.EAIaIQobChMI26H796Xx9gIVGrbICh3RYw7EEAAYASAAEgLS-_D_BwE"/>
        <s v="https://protosupplies.com/product/light-sensitive-ldr-relay-module-5v/_x000a_https://protosupplies.com/product/light-sensitive-ldr-relay-module-5v/"/>
        <s v="https://abra-electronics.com/electromechanical/motors/gear-motors/metal-gearmotors/jga25-370-series/jga25-370-6v12-e-6vdc-12-rpm-dc-gear-motor-with-magnetic-encoder-clone.html_x000a_https://abra-electronics.com/electromechanical/motors/gear-motors/metal-gearmotors/jga25-370-series/jga25-370-6v12-e-6vdc-12-rpm-dc-gear-motor-with-magnetic-encoder-clone.html"/>
        <s v="https://www.adafruit.com/product/858#technical-details_x000a_https://www.adafruit.com/product/858#technical-details"/>
      </sharedItems>
    </cacheField>
    <cacheField name="OldTronics" numFmtId="0">
      <sharedItems containsBlank="1" count="112">
        <s v="1 OLDTRONICS"/>
        <s v="2 OLDTRONICS"/>
        <s v="4 OLDTRONICS"/>
        <s v="5 OLDTRONICS"/>
        <s v="6 OLDTRONICS"/>
        <s v="8 OLDTRONICS"/>
        <s v="9 OLDTRONICS"/>
        <s v="10 OLDTRONICS"/>
        <s v="11 OLDTRONICS"/>
        <s v="12 OLDTRONICS"/>
        <s v="13 OLDTRONICS"/>
        <s v="14 OLDTRONICS"/>
        <s v="15 OLDTRONICS"/>
        <s v="16 OLDTRONICS"/>
        <s v="17 OLDTRONICS"/>
        <s v="18 OLDTRONICS"/>
        <s v="19 OLDTRONICS"/>
        <s v="20 OLDTRONICS"/>
        <s v="21 OLDTRONICS"/>
        <s v="22 OLDTRONICS"/>
        <s v="23 OLDTRONICS"/>
        <s v="24 OLDTRONICS"/>
        <s v="25 OLDTRONICS"/>
        <s v="27 OLDTRONICS"/>
        <s v="28 OLDTRONICS"/>
        <s v="29 OLDTRONICS"/>
        <s v="30 OLDTRONICS"/>
        <s v="31 OLDTRONICS"/>
        <s v="32 OLDTRONICS"/>
        <s v="33 OLDTRONICS"/>
        <s v="34 OLDTRONICS"/>
        <s v="35 OLDTRONICS"/>
        <s v="36 OLDTRONICS"/>
        <s v="37 OLDTRONICS"/>
        <s v="38 OLDTRONICS"/>
        <s v="39 OLDTRONICS"/>
        <s v="40 OLDTRONICS"/>
        <s v="41 OLDTRONICS"/>
        <s v="42 OLDTRONICS"/>
        <s v="43 OLDTRONICS"/>
        <s v="44 OLDTRONICS"/>
        <s v="45 OLDTRONICS"/>
        <s v="46 OLDTRONICS"/>
        <s v="47 OLDTRONICS"/>
        <s v="48 OLDTRONICS"/>
        <s v="49 OLDTRONICS"/>
        <s v="50 OLDTRONICS"/>
        <s v="51 OLDTRONICS"/>
        <s v="52 OLDTRONICS"/>
        <s v="53 OLDTRONICS"/>
        <s v="54 OLDTRONICS"/>
        <s v="132 OLDTRONICS"/>
        <s v="133 OLDTRONICS"/>
        <s v="134 OLDTRONICS"/>
        <s v="135 OLDTRONICS"/>
        <s v="136 OLDTRONICS"/>
        <s v="137 OLDTRONICS"/>
        <s v="138 OLDTRONICS"/>
        <s v="139 OLDTRONICS"/>
        <s v="140 OLDTRONICS"/>
        <s v="141 OLDTRONICS"/>
        <s v="142 OLDTRONICS"/>
        <s v="143 OLDTRONICS"/>
        <s v="144 OLDTRONICS"/>
        <s v="145 OLDTRONICS"/>
        <s v="146 OLDTRONICS"/>
        <s v="147 OLDTRONICS"/>
        <s v="148 OLDTRONICS"/>
        <s v="149 OLDTRONICS"/>
        <s v="150 OLDTRONICS"/>
        <s v="151 OLDTRONICS"/>
        <s v="152 OLDTRONICS"/>
        <s v="153 OLDTRONICS"/>
        <s v="154 OLDTRONICS"/>
        <s v="155 OLDTRONICS"/>
        <s v="156 OLDTRONICS"/>
        <s v="157 OLDTRONICS"/>
        <s v="158 OLDTRONICS"/>
        <s v="159 OLDTRONICS"/>
        <s v="160 OLDTRONICS"/>
        <s v="161 OLDTRONICS"/>
        <s v="162 OLDTRONICS"/>
        <s v="163 OLDTRONICS"/>
        <s v="164 OLDTRONICS"/>
        <s v="165 OLDTRONICS"/>
        <s v="166 OLDTRONICS"/>
        <s v="167 OLDTRONICS"/>
        <s v="168 OLDTRONICS"/>
        <s v="169 OLDTRONICS"/>
        <s v="170 OLDTRONICS"/>
        <s v="171 OLDTRONICS"/>
        <s v="172 OLDTRONICS"/>
        <s v="173 OLDTRONICS"/>
        <s v="174 OLDTRONICS"/>
        <s v="177 OLDTRONICS"/>
        <s v="178 OLDTRONICS"/>
        <s v="179 OLDTRONICS"/>
        <s v="180 OLDTRONICS"/>
        <s v="181 OLDTRONICS"/>
        <s v="182 OLDTRONICS"/>
        <s v="183 OLDTRONICS"/>
        <s v="184 OLDTRONICS"/>
        <s v="185 OLDTRONICS"/>
        <s v="186 OLDTRONICS"/>
        <s v="187 OLDTRONICS"/>
        <s v="188 OLDTRONICS"/>
        <s v="189 OLDTRONICS"/>
        <s v="193 OLDTRONICS"/>
        <s v="194 OLDTRONICS"/>
        <s v="195 OLDTRONICS"/>
        <s v="196 OLDTRONICS"/>
        <m u="1"/>
      </sharedItems>
    </cacheField>
    <cacheField name="OutOfStock2" numFmtId="0">
      <sharedItems containsBlank="1" count="4">
        <m/>
        <s v="Out of Stock"/>
        <s v="Low Stock"/>
        <s v="-"/>
      </sharedItems>
    </cacheField>
    <cacheField name="ID" numFmtId="0">
      <sharedItems containsSemiMixedTypes="0" containsString="0" containsNumber="1" containsInteger="1" minValue="1" maxValue="196" count="111">
        <n v="1"/>
        <n v="2"/>
        <n v="4"/>
        <n v="5"/>
        <n v="6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3"/>
        <n v="194"/>
        <n v="195"/>
        <n v="196"/>
      </sharedItems>
    </cacheField>
    <cacheField name="Path" numFmtId="0">
      <sharedItems count="1">
        <s v="sites/fase-myhalfabrication/Lists/Electronics"/>
      </sharedItems>
    </cacheField>
    <cacheField name="Item Type" numFmtId="0">
      <sharedItems count="1">
        <s v="Item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7">
  <r>
    <x v="0"/>
    <x v="0"/>
    <n v="8.52"/>
    <s v="https://i.ebayimg.com/images/g/kiAAAOSwr~lYsZH9/s-l300.jpg_x000a_"/>
    <x v="0"/>
    <x v="0"/>
    <x v="0"/>
    <x v="0"/>
    <x v="0"/>
    <x v="0"/>
    <x v="0"/>
    <x v="0"/>
    <x v="0"/>
    <x v="0"/>
    <x v="0"/>
    <x v="0"/>
    <x v="0"/>
    <x v="0"/>
  </r>
  <r>
    <x v="1"/>
    <x v="1"/>
    <n v="15.76"/>
    <s v="https://www.plasticdepot.ca/uploads/1/2/6/3/126329102/s134353909877617773_p66_i1_w500.jpeg?width=1200_x000a_"/>
    <x v="0"/>
    <x v="1"/>
    <x v="0"/>
    <x v="0"/>
    <x v="0"/>
    <x v="0"/>
    <x v="1"/>
    <x v="0"/>
    <x v="0"/>
    <x v="0"/>
    <x v="0"/>
    <x v="0"/>
    <x v="0"/>
    <x v="0"/>
  </r>
  <r>
    <x v="2"/>
    <x v="1"/>
    <n v="31.52"/>
    <s v="https://www.plasticdepot.ca/uploads/1/2/6/3/126329102/s134353909877617773_p66_i1_w500.jpeg?width=1200_x000a_"/>
    <x v="0"/>
    <x v="2"/>
    <x v="0"/>
    <x v="0"/>
    <x v="1"/>
    <x v="0"/>
    <x v="2"/>
    <x v="0"/>
    <x v="0"/>
    <x v="0"/>
    <x v="0"/>
    <x v="0"/>
    <x v="0"/>
    <x v="0"/>
  </r>
  <r>
    <x v="3"/>
    <x v="1"/>
    <n v="15.76"/>
    <s v="https://images-na.ssl-images-amazon.com/images/I/51zgRwKEncL._AC_SL1120_.jpg_x000a_"/>
    <x v="0"/>
    <x v="3"/>
    <x v="0"/>
    <x v="0"/>
    <x v="0"/>
    <x v="0"/>
    <x v="1"/>
    <x v="0"/>
    <x v="0"/>
    <x v="0"/>
    <x v="0"/>
    <x v="0"/>
    <x v="0"/>
    <x v="0"/>
  </r>
  <r>
    <x v="4"/>
    <x v="1"/>
    <n v="31.52"/>
    <s v="https://images-na.ssl-images-amazon.com/images/I/51zgRwKEncL._AC_SL1120_.jpg_x000a_"/>
    <x v="0"/>
    <x v="4"/>
    <x v="0"/>
    <x v="0"/>
    <x v="1"/>
    <x v="0"/>
    <x v="2"/>
    <x v="0"/>
    <x v="0"/>
    <x v="0"/>
    <x v="0"/>
    <x v="0"/>
    <x v="0"/>
    <x v="0"/>
  </r>
  <r>
    <x v="5"/>
    <x v="1"/>
    <n v="7.74"/>
    <s v="https://encrypted-tbn0.gstatic.com/images?q=tbn:ANd9GcSYFvrDdgM4m0tS2HQeT1Af2tlIBb7u8wm1_oFmCBbS3jPAMWPD0A_x000a_https://encrypted-tbn0.gstatic.com/images?q=tbn:ANd9GcSYFvrDdgM4m0tS2HQeT1Af2tlIBb7u8wm1_oFmCBbS3jPAMWPD0A"/>
    <x v="0"/>
    <x v="5"/>
    <x v="0"/>
    <x v="0"/>
    <x v="0"/>
    <x v="0"/>
    <x v="3"/>
    <x v="0"/>
    <x v="0"/>
    <x v="0"/>
    <x v="0"/>
    <x v="0"/>
    <x v="0"/>
    <x v="0"/>
  </r>
  <r>
    <x v="6"/>
    <x v="1"/>
    <n v="14.18"/>
    <s v="https://encrypted-tbn0.gstatic.com/images?q=tbn:ANd9GcSYFvrDdgM4m0tS2HQeT1Af2tlIBb7u8wm1_oFmCBbS3jPAMWPD0A_x000a_"/>
    <x v="0"/>
    <x v="6"/>
    <x v="0"/>
    <x v="0"/>
    <x v="0"/>
    <x v="0"/>
    <x v="4"/>
    <x v="0"/>
    <x v="0"/>
    <x v="0"/>
    <x v="0"/>
    <x v="0"/>
    <x v="0"/>
    <x v="0"/>
  </r>
  <r>
    <x v="7"/>
    <x v="1"/>
    <n v="31.66"/>
    <s v="https://encrypted-tbn0.gstatic.com/images?q=tbn:ANd9GcSYFvrDdgM4m0tS2HQeT1Af2tlIBb7u8wm1_oFmCBbS3jPAMWPD0A_x000a_"/>
    <x v="0"/>
    <x v="7"/>
    <x v="0"/>
    <x v="0"/>
    <x v="0"/>
    <x v="0"/>
    <x v="5"/>
    <x v="0"/>
    <x v="0"/>
    <x v="0"/>
    <x v="0"/>
    <x v="0"/>
    <x v="0"/>
    <x v="0"/>
  </r>
  <r>
    <x v="8"/>
    <x v="1"/>
    <n v="12.89"/>
    <s v="https://plaskolite.com/images/default-source/product-image-library/frost.jpg?sfvrsn=9fe338fe_2_x000a_https://plaskolite.com/images/default-source/product-image-library/frost.jpg?sfvrsn=9fe338fe_2"/>
    <x v="0"/>
    <x v="8"/>
    <x v="0"/>
    <x v="0"/>
    <x v="0"/>
    <x v="0"/>
    <x v="6"/>
    <x v="0"/>
    <x v="0"/>
    <x v="0"/>
    <x v="0"/>
    <x v="0"/>
    <x v="0"/>
    <x v="0"/>
  </r>
  <r>
    <x v="9"/>
    <x v="1"/>
    <n v="15.76"/>
    <s v="https://plaskolite.com/images/default-source/product-image-library/frost.jpg?sfvrsn=9fe338fe_2_x000a_https://plaskolite.com/images/default-source/product-image-library/frost.jpg?sfvrsn=9fe338fe_2"/>
    <x v="0"/>
    <x v="9"/>
    <x v="0"/>
    <x v="0"/>
    <x v="0"/>
    <x v="0"/>
    <x v="1"/>
    <x v="0"/>
    <x v="0"/>
    <x v="0"/>
    <x v="0"/>
    <x v="0"/>
    <x v="0"/>
    <x v="0"/>
  </r>
  <r>
    <x v="10"/>
    <x v="1"/>
    <n v="31.52"/>
    <s v="https://plaskolite.com/images/default-source/product-image-library/frost.jpg?sfvrsn=9fe338fe_2_x000a_https://plaskolite.com/images/default-source/product-image-library/frost.jpg?sfvrsn=9fe338fe_2"/>
    <x v="0"/>
    <x v="10"/>
    <x v="0"/>
    <x v="0"/>
    <x v="1"/>
    <x v="0"/>
    <x v="2"/>
    <x v="0"/>
    <x v="0"/>
    <x v="0"/>
    <x v="0"/>
    <x v="0"/>
    <x v="0"/>
    <x v="0"/>
  </r>
  <r>
    <x v="11"/>
    <x v="0"/>
    <n v="3.05"/>
    <s v="https://i.ebayimg.com/images/g/kiAAAOSwr~lYsZH9/s-l300.jpg_x000a_"/>
    <x v="1"/>
    <x v="11"/>
    <x v="0"/>
    <x v="1"/>
    <x v="0"/>
    <x v="0"/>
    <x v="7"/>
    <x v="0"/>
    <x v="0"/>
    <x v="0"/>
    <x v="0"/>
    <x v="0"/>
    <x v="0"/>
    <x v="0"/>
  </r>
  <r>
    <x v="12"/>
    <x v="0"/>
    <n v="1.97"/>
    <s v="https://i.ebayimg.com/images/g/kiAAAOSwr~lYsZH9/s-l300.jpg_x000a_https://i.ebayimg.com/images/g/kiAAAOSwr~lYsZH9/s-l300.jpg"/>
    <x v="1"/>
    <x v="12"/>
    <x v="0"/>
    <x v="1"/>
    <x v="0"/>
    <x v="0"/>
    <x v="8"/>
    <x v="0"/>
    <x v="0"/>
    <x v="0"/>
    <x v="0"/>
    <x v="0"/>
    <x v="0"/>
    <x v="0"/>
  </r>
  <r>
    <x v="13"/>
    <x v="2"/>
    <n v="0.54"/>
    <s v="https://images.homedepot.ca/productimages/p_1001802967.jpg?product-images=l_x000a_https://images.homedepot.ca/productimages/p_1001802967.jpg?product-images=l"/>
    <x v="2"/>
    <x v="13"/>
    <x v="0"/>
    <x v="1"/>
    <x v="0"/>
    <x v="0"/>
    <x v="9"/>
    <x v="0"/>
    <x v="0"/>
    <x v="0"/>
    <x v="0"/>
    <x v="0"/>
    <x v="0"/>
    <x v="0"/>
  </r>
  <r>
    <x v="14"/>
    <x v="3"/>
    <n v="7.54"/>
    <s v="https://filmandeventsolutions.ca/wp-content/uploads/2021/01/foam-core-white.jpg_x000a_"/>
    <x v="3"/>
    <x v="14"/>
    <x v="0"/>
    <x v="1"/>
    <x v="0"/>
    <x v="0"/>
    <x v="10"/>
    <x v="0"/>
    <x v="0"/>
    <x v="0"/>
    <x v="0"/>
    <x v="0"/>
    <x v="0"/>
    <x v="0"/>
  </r>
  <r>
    <x v="15"/>
    <x v="3"/>
    <n v="0.87"/>
    <s v="https://cdn.rona.ca/images/34585294_L.jpg_x000a_https://cdn.rona.ca/images/34585294_L.jpg"/>
    <x v="1"/>
    <x v="15"/>
    <x v="0"/>
    <x v="1"/>
    <x v="0"/>
    <x v="0"/>
    <x v="11"/>
    <x v="0"/>
    <x v="0"/>
    <x v="0"/>
    <x v="0"/>
    <x v="0"/>
    <x v="0"/>
    <x v="0"/>
  </r>
  <r>
    <x v="16"/>
    <x v="4"/>
    <n v="2.52"/>
    <s v="https://rebul.com.au/wp-content/uploads/2014/06/honeycomb_board1-1024x480.jpg_x000a_"/>
    <x v="0"/>
    <x v="16"/>
    <x v="0"/>
    <x v="0"/>
    <x v="0"/>
    <x v="0"/>
    <x v="12"/>
    <x v="0"/>
    <x v="0"/>
    <x v="0"/>
    <x v="0"/>
    <x v="0"/>
    <x v="0"/>
    <x v="0"/>
  </r>
  <r>
    <x v="17"/>
    <x v="4"/>
    <n v="1.92"/>
    <s v="https://5.imimg.com/data5/PL/LP/MY-1061796/corrugated-cardboard-sheets-500x500.jpg_x000a_"/>
    <x v="0"/>
    <x v="17"/>
    <x v="0"/>
    <x v="0"/>
    <x v="1"/>
    <x v="0"/>
    <x v="13"/>
    <x v="0"/>
    <x v="0"/>
    <x v="0"/>
    <x v="0"/>
    <x v="0"/>
    <x v="0"/>
    <x v="0"/>
  </r>
  <r>
    <x v="18"/>
    <x v="4"/>
    <n v="2.2799999999999998"/>
    <s v="https://ae01.alicdn.com/kf/HTB1kIX5SFXXXXb2XpXXq6xXFXXXw/Blank-kraft-A3-paper-300gsm-250gsm-150gsm-DIY-a3-Paperboard-Cardboard-Card.jpg_640x640.jpg_x000a_"/>
    <x v="0"/>
    <x v="18"/>
    <x v="0"/>
    <x v="0"/>
    <x v="0"/>
    <x v="0"/>
    <x v="14"/>
    <x v="0"/>
    <x v="0"/>
    <x v="0"/>
    <x v="0"/>
    <x v="0"/>
    <x v="0"/>
    <x v="0"/>
  </r>
  <r>
    <x v="19"/>
    <x v="4"/>
    <n v="0.51"/>
    <s v="https://ae01.alicdn.com/kf/HTB1kIX5SFXXXXb2XpXXq6xXFXXXw/Blank-kraft-A3-paper-300gsm-250gsm-150gsm-DIY-a3-Paperboard-Cardboard-Card.jpg_640x640.jpg_x000a_"/>
    <x v="0"/>
    <x v="19"/>
    <x v="0"/>
    <x v="0"/>
    <x v="0"/>
    <x v="0"/>
    <x v="15"/>
    <x v="0"/>
    <x v="0"/>
    <x v="0"/>
    <x v="0"/>
    <x v="0"/>
    <x v="0"/>
    <x v="0"/>
  </r>
  <r>
    <x v="20"/>
    <x v="0"/>
    <n v="1.22"/>
    <s v="https://i.ebayimg.com/images/g/kiAAAOSwr~lYsZH9/s-l300.jpg_x000a_"/>
    <x v="1"/>
    <x v="20"/>
    <x v="0"/>
    <x v="1"/>
    <x v="0"/>
    <x v="0"/>
    <x v="16"/>
    <x v="0"/>
    <x v="0"/>
    <x v="0"/>
    <x v="0"/>
    <x v="0"/>
    <x v="0"/>
    <x v="0"/>
  </r>
  <r>
    <x v="21"/>
    <x v="5"/>
    <n v="1.04"/>
    <s v="https://images-na.ssl-images-amazon.com/images/I/71jCJuz-D7L._SX466_.jpg_x000a_"/>
    <x v="1"/>
    <x v="21"/>
    <x v="0"/>
    <x v="1"/>
    <x v="1"/>
    <x v="0"/>
    <x v="17"/>
    <x v="0"/>
    <x v="0"/>
    <x v="0"/>
    <x v="0"/>
    <x v="0"/>
    <x v="0"/>
    <x v="0"/>
  </r>
  <r>
    <x v="22"/>
    <x v="0"/>
    <n v="13.3"/>
    <s v="https://i.ebayimg.com/images/g/kiAAAOSwr~lYsZH9/s-l300.jpg_x000a_"/>
    <x v="0"/>
    <x v="22"/>
    <x v="0"/>
    <x v="1"/>
    <x v="0"/>
    <x v="0"/>
    <x v="18"/>
    <x v="0"/>
    <x v="0"/>
    <x v="0"/>
    <x v="0"/>
    <x v="0"/>
    <x v="0"/>
    <x v="0"/>
  </r>
  <r>
    <x v="23"/>
    <x v="3"/>
    <n v="3.23"/>
    <s v="https://www.foambymail.com/Merchant2/graphics/00000001/polyethylene_540x404.jpg_x000a_"/>
    <x v="0"/>
    <x v="23"/>
    <x v="0"/>
    <x v="0"/>
    <x v="0"/>
    <x v="0"/>
    <x v="19"/>
    <x v="0"/>
    <x v="0"/>
    <x v="0"/>
    <x v="0"/>
    <x v="0"/>
    <x v="0"/>
    <x v="0"/>
  </r>
  <r>
    <x v="24"/>
    <x v="4"/>
    <n v="4.71"/>
    <s v="https://5.imimg.com/data5/PL/LP/MY-1061796/corrugated-cardboard-sheets-500x500.jpg_x000a_"/>
    <x v="4"/>
    <x v="24"/>
    <x v="0"/>
    <x v="1"/>
    <x v="0"/>
    <x v="0"/>
    <x v="20"/>
    <x v="0"/>
    <x v="0"/>
    <x v="0"/>
    <x v="0"/>
    <x v="0"/>
    <x v="0"/>
    <x v="0"/>
  </r>
  <r>
    <x v="25"/>
    <x v="4"/>
    <n v="3.62"/>
    <s v="https://5.imimg.com/data5/PL/LP/MY-1061796/corrugated-cardboard-sheets-500x500.jpg_x000a_"/>
    <x v="5"/>
    <x v="25"/>
    <x v="0"/>
    <x v="1"/>
    <x v="0"/>
    <x v="0"/>
    <x v="21"/>
    <x v="0"/>
    <x v="0"/>
    <x v="0"/>
    <x v="0"/>
    <x v="0"/>
    <x v="0"/>
    <x v="0"/>
  </r>
  <r>
    <x v="26"/>
    <x v="3"/>
    <n v="4.7300000000000004"/>
    <s v="https://filmandeventsolutions.ca/wp-content/uploads/2021/01/foam-core-white.jpg_x000a_"/>
    <x v="0"/>
    <x v="26"/>
    <x v="0"/>
    <x v="1"/>
    <x v="0"/>
    <x v="0"/>
    <x v="22"/>
    <x v="0"/>
    <x v="0"/>
    <x v="0"/>
    <x v="0"/>
    <x v="0"/>
    <x v="0"/>
    <x v="0"/>
  </r>
  <r>
    <x v="27"/>
    <x v="3"/>
    <n v="3.52"/>
    <s v="https://images-na.ssl-images-amazon.com/images/I/41FHF69F2IL._SX355_.jpg_x000a_"/>
    <x v="6"/>
    <x v="27"/>
    <x v="0"/>
    <x v="1"/>
    <x v="1"/>
    <x v="0"/>
    <x v="23"/>
    <x v="0"/>
    <x v="0"/>
    <x v="0"/>
    <x v="0"/>
    <x v="0"/>
    <x v="0"/>
    <x v="0"/>
  </r>
  <r>
    <x v="28"/>
    <x v="5"/>
    <n v="0.64"/>
    <s v="https://images-na.ssl-images-amazon.com/images/I/71jCJuz-D7L._SX466_.jpg_x000a_"/>
    <x v="1"/>
    <x v="28"/>
    <x v="0"/>
    <x v="1"/>
    <x v="1"/>
    <x v="0"/>
    <x v="24"/>
    <x v="0"/>
    <x v="0"/>
    <x v="0"/>
    <x v="0"/>
    <x v="0"/>
    <x v="0"/>
    <x v="0"/>
  </r>
  <r>
    <x v="29"/>
    <x v="2"/>
    <n v="0.54"/>
    <s v="https://pro.goodrichlumber.com/MainSite/Store1/_CachedContent/_ECommerce/StoreProductCategories/2.png_x000a_"/>
    <x v="2"/>
    <x v="29"/>
    <x v="0"/>
    <x v="1"/>
    <x v="0"/>
    <x v="0"/>
    <x v="9"/>
    <x v="0"/>
    <x v="0"/>
    <x v="0"/>
    <x v="0"/>
    <x v="0"/>
    <x v="0"/>
    <x v="0"/>
  </r>
  <r>
    <x v="30"/>
    <x v="6"/>
    <n v="1.07"/>
    <s v="https://www.pitsco.com/sharedimages/product/ExtraLarge/XL_BALSASHEETS.jpg_x000a_"/>
    <x v="7"/>
    <x v="30"/>
    <x v="0"/>
    <x v="0"/>
    <x v="1"/>
    <x v="0"/>
    <x v="25"/>
    <x v="0"/>
    <x v="0"/>
    <x v="0"/>
    <x v="0"/>
    <x v="0"/>
    <x v="0"/>
    <x v="0"/>
  </r>
  <r>
    <x v="31"/>
    <x v="6"/>
    <n v="1.29"/>
    <s v="https://www.pitsco.com/sharedimages/product/ExtraLarge/XL_BALSASHEETS.jpg_x000a_"/>
    <x v="7"/>
    <x v="31"/>
    <x v="0"/>
    <x v="0"/>
    <x v="1"/>
    <x v="0"/>
    <x v="26"/>
    <x v="0"/>
    <x v="0"/>
    <x v="0"/>
    <x v="0"/>
    <x v="0"/>
    <x v="0"/>
    <x v="0"/>
  </r>
  <r>
    <x v="32"/>
    <x v="6"/>
    <n v="0.38"/>
    <s v="https://www.pitsco.com/sharedimages/product/ExtraLarge/XL_BALSASHEETS.jpg_x000a_"/>
    <x v="8"/>
    <x v="32"/>
    <x v="0"/>
    <x v="0"/>
    <x v="1"/>
    <x v="0"/>
    <x v="27"/>
    <x v="0"/>
    <x v="0"/>
    <x v="0"/>
    <x v="0"/>
    <x v="0"/>
    <x v="0"/>
    <x v="0"/>
  </r>
  <r>
    <x v="33"/>
    <x v="6"/>
    <n v="0.56000000000000005"/>
    <s v="https://www.pitsco.com/sharedimages/product/ExtraLarge/XL_BALSASHEETS.jpg_x000a_"/>
    <x v="8"/>
    <x v="33"/>
    <x v="0"/>
    <x v="1"/>
    <x v="1"/>
    <x v="0"/>
    <x v="28"/>
    <x v="0"/>
    <x v="0"/>
    <x v="0"/>
    <x v="0"/>
    <x v="0"/>
    <x v="0"/>
    <x v="0"/>
  </r>
  <r>
    <x v="34"/>
    <x v="7"/>
    <n v="1.26"/>
    <s v="https://encrypted-tbn0.gstatic.com/images?q=tbn:ANd9GcSQwmXiHvoupnrrXWFUvWksvnhdgmBxHLF0Tcv9EcVM49c8M9bNxQ_x000a_"/>
    <x v="1"/>
    <x v="34"/>
    <x v="0"/>
    <x v="1"/>
    <x v="0"/>
    <x v="0"/>
    <x v="29"/>
    <x v="0"/>
    <x v="0"/>
    <x v="0"/>
    <x v="0"/>
    <x v="0"/>
    <x v="0"/>
    <x v="0"/>
  </r>
  <r>
    <x v="35"/>
    <x v="7"/>
    <n v="1.63"/>
    <s v="https://encrypted-tbn0.gstatic.com/images?q=tbn:ANd9GcSQwmXiHvoupnrrXWFUvWksvnhdgmBxHLF0Tcv9EcVM49c8M9bNxQ_x000a_"/>
    <x v="1"/>
    <x v="35"/>
    <x v="0"/>
    <x v="1"/>
    <x v="0"/>
    <x v="0"/>
    <x v="30"/>
    <x v="0"/>
    <x v="0"/>
    <x v="0"/>
    <x v="0"/>
    <x v="0"/>
    <x v="0"/>
    <x v="0"/>
  </r>
  <r>
    <x v="36"/>
    <x v="8"/>
    <n v="1.81"/>
    <s v="https://cdn.shopify.com/s/files/1/2532/9964/products/block-balsa-12-x-3-x-3-1586168627237_large.jpg?v=1530130707_x000a_"/>
    <x v="2"/>
    <x v="36"/>
    <x v="0"/>
    <x v="1"/>
    <x v="1"/>
    <x v="0"/>
    <x v="31"/>
    <x v="0"/>
    <x v="0"/>
    <x v="0"/>
    <x v="0"/>
    <x v="0"/>
    <x v="0"/>
    <x v="0"/>
  </r>
  <r>
    <x v="37"/>
    <x v="8"/>
    <n v="5.29"/>
    <s v="https://cdn.shopify.com/s/files/1/2532/9964/products/block-balsa-12-x-3-x-3-1586168627237_large.jpg?v=1530130707_x000a_"/>
    <x v="2"/>
    <x v="37"/>
    <x v="0"/>
    <x v="1"/>
    <x v="1"/>
    <x v="0"/>
    <x v="32"/>
    <x v="0"/>
    <x v="0"/>
    <x v="0"/>
    <x v="0"/>
    <x v="0"/>
    <x v="0"/>
    <x v="0"/>
  </r>
  <r>
    <x v="38"/>
    <x v="8"/>
    <n v="11.91"/>
    <s v="https://cdn.shopify.com/s/files/1/2532/9964/products/block-balsa-12-x-3-x-3-1586168627237_large.jpg?v=1530130707_x000a_"/>
    <x v="2"/>
    <x v="38"/>
    <x v="0"/>
    <x v="1"/>
    <x v="1"/>
    <x v="0"/>
    <x v="33"/>
    <x v="0"/>
    <x v="0"/>
    <x v="0"/>
    <x v="0"/>
    <x v="0"/>
    <x v="0"/>
    <x v="0"/>
  </r>
  <r>
    <x v="39"/>
    <x v="9"/>
    <m/>
    <s v="https://www.rchopez.com/webshaper/pcm/gallery/lg/73d0bc1d2498815350e2b2a0464192c31479467366-lg.png_x000a_"/>
    <x v="2"/>
    <x v="39"/>
    <x v="0"/>
    <x v="1"/>
    <x v="0"/>
    <x v="0"/>
    <x v="34"/>
    <x v="0"/>
    <x v="0"/>
    <x v="0"/>
    <x v="0"/>
    <x v="0"/>
    <x v="0"/>
    <x v="0"/>
  </r>
  <r>
    <x v="40"/>
    <x v="10"/>
    <m/>
    <s v="https://www.woodworkerssource.com/mm5/graphics/woods_products/hardwood_dowels/birch_dowels_001.jpg_x000a_"/>
    <x v="2"/>
    <x v="40"/>
    <x v="0"/>
    <x v="1"/>
    <x v="0"/>
    <x v="0"/>
    <x v="34"/>
    <x v="0"/>
    <x v="0"/>
    <x v="0"/>
    <x v="0"/>
    <x v="0"/>
    <x v="0"/>
    <x v="0"/>
  </r>
  <r>
    <x v="41"/>
    <x v="9"/>
    <m/>
    <s v="https://cdn.shopify.com/s/files/1/2281/6393/products/yy1SIGBA226.jpg?v=1504658427_x000a_"/>
    <x v="2"/>
    <x v="41"/>
    <x v="0"/>
    <x v="1"/>
    <x v="0"/>
    <x v="0"/>
    <x v="34"/>
    <x v="0"/>
    <x v="0"/>
    <x v="0"/>
    <x v="0"/>
    <x v="0"/>
    <x v="0"/>
    <x v="0"/>
  </r>
  <r>
    <x v="42"/>
    <x v="3"/>
    <n v="3.73"/>
    <s v="https://encrypted-tbn0.gstatic.com/images?q=tbn:ANd9GcTqj9XxGREZR1pNRhWlwYgu6Pyvp8xtni6K5vXmXocJS3UeuV4c7Q_x000a_"/>
    <x v="4"/>
    <x v="42"/>
    <x v="0"/>
    <x v="1"/>
    <x v="0"/>
    <x v="0"/>
    <x v="35"/>
    <x v="0"/>
    <x v="0"/>
    <x v="0"/>
    <x v="0"/>
    <x v="0"/>
    <x v="0"/>
    <x v="0"/>
  </r>
  <r>
    <x v="43"/>
    <x v="3"/>
    <n v="15.47"/>
    <s v="https://encrypted-tbn0.gstatic.com/images?q=tbn:ANd9GcTqj9XxGREZR1pNRhWlwYgu6Pyvp8xtni6K5vXmXocJS3UeuV4c7Q_x000a_"/>
    <x v="4"/>
    <x v="43"/>
    <x v="0"/>
    <x v="1"/>
    <x v="0"/>
    <x v="0"/>
    <x v="36"/>
    <x v="0"/>
    <x v="0"/>
    <x v="0"/>
    <x v="0"/>
    <x v="0"/>
    <x v="0"/>
    <x v="0"/>
  </r>
  <r>
    <x v="44"/>
    <x v="11"/>
    <n v="0.87"/>
    <s v="https://buildgp.com/wp-content/uploads/2018/11/georgia-pacific-particleboard-corner-photo1-738x415.jpg_x000a_"/>
    <x v="1"/>
    <x v="44"/>
    <x v="0"/>
    <x v="1"/>
    <x v="0"/>
    <x v="0"/>
    <x v="11"/>
    <x v="0"/>
    <x v="0"/>
    <x v="0"/>
    <x v="0"/>
    <x v="0"/>
    <x v="0"/>
    <x v="0"/>
  </r>
  <r>
    <x v="45"/>
    <x v="11"/>
    <n v="0.9"/>
    <s v="https://buildgp.com/wp-content/uploads/2018/11/georgia-pacific-particleboard-corner-photo1-738x415.jpg_x000a_"/>
    <x v="1"/>
    <x v="45"/>
    <x v="0"/>
    <x v="1"/>
    <x v="0"/>
    <x v="0"/>
    <x v="37"/>
    <x v="0"/>
    <x v="0"/>
    <x v="0"/>
    <x v="0"/>
    <x v="0"/>
    <x v="0"/>
    <x v="0"/>
  </r>
  <r>
    <x v="46"/>
    <x v="1"/>
    <n v="19.34"/>
    <s v="https://i.etsystatic.com/5553166/r/il/31a37d/1750563203/il_570xN.1750563203_lm14.jpg_x000a_"/>
    <x v="0"/>
    <x v="46"/>
    <x v="0"/>
    <x v="0"/>
    <x v="0"/>
    <x v="0"/>
    <x v="38"/>
    <x v="0"/>
    <x v="0"/>
    <x v="0"/>
    <x v="0"/>
    <x v="0"/>
    <x v="0"/>
    <x v="0"/>
  </r>
  <r>
    <x v="47"/>
    <x v="11"/>
    <n v="0"/>
    <s v="https://cdn.shopify.com/s/files/1/1436/7450/products/glamour_image_grande.jpg?v=1534301968_x000a_Peterboro Mat Board"/>
    <x v="9"/>
    <x v="47"/>
    <x v="0"/>
    <x v="0"/>
    <x v="1"/>
    <x v="0"/>
    <x v="34"/>
    <x v="0"/>
    <x v="0"/>
    <x v="0"/>
    <x v="0"/>
    <x v="0"/>
    <x v="0"/>
    <x v="0"/>
  </r>
  <r>
    <x v="48"/>
    <x v="12"/>
    <n v="7.5"/>
    <s v="https://images-na.ssl-images-amazon.com/images/I/61FwSp3RwFL._SX466_.jpg_x000a_"/>
    <x v="4"/>
    <x v="48"/>
    <x v="0"/>
    <x v="1"/>
    <x v="1"/>
    <x v="0"/>
    <x v="39"/>
    <x v="0"/>
    <x v="0"/>
    <x v="0"/>
    <x v="0"/>
    <x v="0"/>
    <x v="0"/>
    <x v="0"/>
  </r>
  <r>
    <x v="49"/>
    <x v="4"/>
    <n v="0.12"/>
    <s v="https://www.staples-3p.com/s7/is/image/Staples/sp43815387_sc7?wid=512&amp;hei=512_x000a_"/>
    <x v="10"/>
    <x v="49"/>
    <x v="0"/>
    <x v="0"/>
    <x v="1"/>
    <x v="0"/>
    <x v="40"/>
    <x v="0"/>
    <x v="0"/>
    <x v="0"/>
    <x v="0"/>
    <x v="0"/>
    <x v="0"/>
    <x v="0"/>
  </r>
  <r>
    <x v="50"/>
    <x v="13"/>
    <n v="0.64"/>
    <s v="https://s7d2.scene7.com/is/image/homedepotcanada/p_1000850316.jpg_x000a_"/>
    <x v="1"/>
    <x v="50"/>
    <x v="0"/>
    <x v="1"/>
    <x v="1"/>
    <x v="0"/>
    <x v="24"/>
    <x v="0"/>
    <x v="0"/>
    <x v="0"/>
    <x v="0"/>
    <x v="0"/>
    <x v="0"/>
    <x v="0"/>
  </r>
  <r>
    <x v="51"/>
    <x v="3"/>
    <n v="2.15"/>
    <s v="https://www.vfmgroup.com.au/assets/full/AF-HF-30.jpg?1537837551_x000a_"/>
    <x v="1"/>
    <x v="51"/>
    <x v="0"/>
    <x v="1"/>
    <x v="1"/>
    <x v="0"/>
    <x v="41"/>
    <x v="0"/>
    <x v="0"/>
    <x v="0"/>
    <x v="0"/>
    <x v="0"/>
    <x v="0"/>
    <x v="0"/>
  </r>
  <r>
    <x v="52"/>
    <x v="3"/>
    <n v="2.6"/>
    <s v="https://www.vfmgroup.com.au/assets/full/AF-HF-30.jpg?1537837551_x000a_"/>
    <x v="1"/>
    <x v="52"/>
    <x v="0"/>
    <x v="1"/>
    <x v="1"/>
    <x v="0"/>
    <x v="42"/>
    <x v="0"/>
    <x v="0"/>
    <x v="0"/>
    <x v="0"/>
    <x v="0"/>
    <x v="0"/>
    <x v="0"/>
  </r>
  <r>
    <x v="53"/>
    <x v="3"/>
    <n v="3.58"/>
    <s v="https://www.vfmgroup.com.au/assets/full/AF-HF-30.jpg?1537837551_x000a_"/>
    <x v="1"/>
    <x v="53"/>
    <x v="0"/>
    <x v="1"/>
    <x v="0"/>
    <x v="0"/>
    <x v="43"/>
    <x v="0"/>
    <x v="0"/>
    <x v="0"/>
    <x v="0"/>
    <x v="0"/>
    <x v="0"/>
    <x v="0"/>
  </r>
  <r>
    <x v="54"/>
    <x v="14"/>
    <n v="7.88"/>
    <s v="https://encrypted-tbn0.gstatic.com/images?q=tbn:ANd9GcQ2wsj5IUKdNaOYIc9cDjwL-9PRabRrToHfgD-jJ8K8PRpRVeII&amp;s_x000a_"/>
    <x v="1"/>
    <x v="54"/>
    <x v="0"/>
    <x v="1"/>
    <x v="1"/>
    <x v="0"/>
    <x v="44"/>
    <x v="0"/>
    <x v="0"/>
    <x v="0"/>
    <x v="0"/>
    <x v="0"/>
    <x v="0"/>
    <x v="0"/>
  </r>
  <r>
    <x v="55"/>
    <x v="15"/>
    <n v="0.81"/>
    <s v="http://sc01.alicdn.com/kf/HTB1lPfGknCWBKNjSZFtq6yC3FXaK/White-Plastic-12-16-20-inch-diameter.jpg_x000a_http://sc01.alicdn.com/kf/HTB1lPfGknCWBKNjSZFtq6yC3FXaK/White-Plastic-12-16-20-inch-diameter.jpg"/>
    <x v="2"/>
    <x v="55"/>
    <x v="0"/>
    <x v="1"/>
    <x v="0"/>
    <x v="0"/>
    <x v="45"/>
    <x v="0"/>
    <x v="0"/>
    <x v="0"/>
    <x v="0"/>
    <x v="0"/>
    <x v="0"/>
    <x v="0"/>
  </r>
  <r>
    <x v="56"/>
    <x v="15"/>
    <n v="0.96"/>
    <s v="http://sc01.alicdn.com/kf/HTB1lPfGknCWBKNjSZFtq6yC3FXaK/White-Plastic-12-16-20-inch-diameter.jpg_x000a_"/>
    <x v="2"/>
    <x v="56"/>
    <x v="0"/>
    <x v="1"/>
    <x v="0"/>
    <x v="0"/>
    <x v="46"/>
    <x v="0"/>
    <x v="0"/>
    <x v="0"/>
    <x v="0"/>
    <x v="0"/>
    <x v="0"/>
    <x v="0"/>
  </r>
  <r>
    <x v="57"/>
    <x v="15"/>
    <n v="1.18"/>
    <s v="http://sc01.alicdn.com/kf/HTB1lPfGknCWBKNjSZFtq6yC3FXaK/White-Plastic-12-16-20-inch-diameter.jpg_x000a_"/>
    <x v="2"/>
    <x v="57"/>
    <x v="0"/>
    <x v="1"/>
    <x v="0"/>
    <x v="0"/>
    <x v="47"/>
    <x v="0"/>
    <x v="0"/>
    <x v="0"/>
    <x v="0"/>
    <x v="0"/>
    <x v="0"/>
    <x v="0"/>
  </r>
  <r>
    <x v="58"/>
    <x v="4"/>
    <n v="2.52"/>
    <s v="https://actionenvelope.scene7.com/is/image/ActionEnvelope/BP-P2018K?hei=413&amp;wid=510&amp;fmt=jpeg&amp;qlt=50&amp;bgc=f1f1f1_x000a_"/>
    <x v="11"/>
    <x v="58"/>
    <x v="0"/>
    <x v="1"/>
    <x v="1"/>
    <x v="0"/>
    <x v="12"/>
    <x v="0"/>
    <x v="0"/>
    <x v="0"/>
    <x v="0"/>
    <x v="0"/>
    <x v="0"/>
    <x v="0"/>
  </r>
  <r>
    <x v="59"/>
    <x v="6"/>
    <n v="1.0900000000000001"/>
    <s v="https://www.pitsco.com/sharedimages/product/ExtraLarge/XL_BALSASHEETS.jpg_x000a_"/>
    <x v="7"/>
    <x v="59"/>
    <x v="0"/>
    <x v="0"/>
    <x v="1"/>
    <x v="0"/>
    <x v="48"/>
    <x v="0"/>
    <x v="0"/>
    <x v="0"/>
    <x v="0"/>
    <x v="0"/>
    <x v="0"/>
    <x v="0"/>
  </r>
  <r>
    <x v="60"/>
    <x v="6"/>
    <n v="0.38"/>
    <s v="https://www.pitsco.com/sharedimages/product/ExtraLarge/XL_BALSASHEETS.jpg_x000a_"/>
    <x v="8"/>
    <x v="60"/>
    <x v="0"/>
    <x v="0"/>
    <x v="1"/>
    <x v="0"/>
    <x v="27"/>
    <x v="0"/>
    <x v="0"/>
    <x v="0"/>
    <x v="0"/>
    <x v="0"/>
    <x v="0"/>
    <x v="0"/>
  </r>
  <r>
    <x v="61"/>
    <x v="2"/>
    <n v="0.27"/>
    <s v="https://pro.goodrichlumber.com/MainSite/Store1/_CachedContent/_ECommerce/StoreProductCategories/2.png_x000a_"/>
    <x v="2"/>
    <x v="61"/>
    <x v="0"/>
    <x v="1"/>
    <x v="2"/>
    <x v="0"/>
    <x v="49"/>
    <x v="0"/>
    <x v="0"/>
    <x v="0"/>
    <x v="0"/>
    <x v="0"/>
    <x v="0"/>
    <x v="0"/>
  </r>
  <r>
    <x v="62"/>
    <x v="11"/>
    <n v="3.52"/>
    <s v="https://da.lowes.ca/webassets/images/720625_05339188_001_l.jpg_x000a_"/>
    <x v="2"/>
    <x v="62"/>
    <x v="0"/>
    <x v="1"/>
    <x v="1"/>
    <x v="0"/>
    <x v="23"/>
    <x v="0"/>
    <x v="0"/>
    <x v="0"/>
    <x v="0"/>
    <x v="0"/>
    <x v="0"/>
    <x v="0"/>
  </r>
  <r>
    <x v="63"/>
    <x v="11"/>
    <n v="10.029999999999999"/>
    <s v="https://www.woodworkerssource.com/mm5/graphics/woods_stacks_scans/main_lumber/maple-hard-lumber.jpg_x000a_"/>
    <x v="7"/>
    <x v="63"/>
    <x v="0"/>
    <x v="1"/>
    <x v="1"/>
    <x v="0"/>
    <x v="50"/>
    <x v="0"/>
    <x v="0"/>
    <x v="0"/>
    <x v="0"/>
    <x v="0"/>
    <x v="0"/>
    <x v="0"/>
  </r>
  <r>
    <x v="64"/>
    <x v="3"/>
    <n v="2.5299999999999998"/>
    <s v="https://static1.squarespace.com/static/53f9d90ee4b0572e560769f8/53fa315ce4b0727da1b81a20/544b701be4b04f9b3c5db596/1548250703980/?format=1000w_x000a_"/>
    <x v="1"/>
    <x v="64"/>
    <x v="0"/>
    <x v="1"/>
    <x v="0"/>
    <x v="0"/>
    <x v="51"/>
    <x v="0"/>
    <x v="0"/>
    <x v="0"/>
    <x v="0"/>
    <x v="0"/>
    <x v="0"/>
    <x v="0"/>
  </r>
  <r>
    <x v="65"/>
    <x v="10"/>
    <n v="0.11"/>
    <s v="https://www.woodworkerssource.com/mm5/graphics/woods_products/hardwood_dowels/birch_dowels_001.jpg_x000a_"/>
    <x v="2"/>
    <x v="65"/>
    <x v="0"/>
    <x v="1"/>
    <x v="0"/>
    <x v="0"/>
    <x v="52"/>
    <x v="0"/>
    <x v="0"/>
    <x v="0"/>
    <x v="0"/>
    <x v="0"/>
    <x v="0"/>
    <x v="0"/>
  </r>
  <r>
    <x v="66"/>
    <x v="10"/>
    <n v="0.16"/>
    <s v="https://www.woodworkerssource.com/mm5/graphics/woods_products/hardwood_dowels/birch_dowels_001.jpg_x000a_"/>
    <x v="2"/>
    <x v="66"/>
    <x v="0"/>
    <x v="1"/>
    <x v="1"/>
    <x v="0"/>
    <x v="53"/>
    <x v="0"/>
    <x v="0"/>
    <x v="0"/>
    <x v="0"/>
    <x v="0"/>
    <x v="0"/>
    <x v="0"/>
  </r>
  <r>
    <x v="67"/>
    <x v="10"/>
    <n v="0.18"/>
    <s v="https://www.woodworkerssource.com/mm5/graphics/woods_products/hardwood_dowels/birch_dowels_001.jpg_x000a_"/>
    <x v="2"/>
    <x v="67"/>
    <x v="0"/>
    <x v="1"/>
    <x v="0"/>
    <x v="0"/>
    <x v="54"/>
    <x v="0"/>
    <x v="0"/>
    <x v="0"/>
    <x v="0"/>
    <x v="0"/>
    <x v="0"/>
    <x v="0"/>
  </r>
  <r>
    <x v="68"/>
    <x v="10"/>
    <n v="0.22"/>
    <s v="https://www.woodworkerssource.com/mm5/graphics/woods_products/hardwood_dowels/birch_dowels_001.jpg_x000a_"/>
    <x v="2"/>
    <x v="68"/>
    <x v="0"/>
    <x v="1"/>
    <x v="0"/>
    <x v="0"/>
    <x v="55"/>
    <x v="0"/>
    <x v="0"/>
    <x v="0"/>
    <x v="0"/>
    <x v="0"/>
    <x v="0"/>
    <x v="0"/>
  </r>
  <r>
    <x v="69"/>
    <x v="10"/>
    <n v="0.28000000000000003"/>
    <s v="https://www.woodworkerssource.com/mm5/graphics/woods_products/hardwood_dowels/birch_dowels_001.jpg_x000a_"/>
    <x v="2"/>
    <x v="69"/>
    <x v="0"/>
    <x v="1"/>
    <x v="0"/>
    <x v="0"/>
    <x v="56"/>
    <x v="0"/>
    <x v="0"/>
    <x v="0"/>
    <x v="0"/>
    <x v="0"/>
    <x v="0"/>
    <x v="0"/>
  </r>
  <r>
    <x v="70"/>
    <x v="10"/>
    <n v="0.38"/>
    <s v="https://www.woodworkerssource.com/mm5/graphics/woods_products/hardwood_dowels/birch_dowels_001.jpg_x000a_"/>
    <x v="2"/>
    <x v="70"/>
    <x v="0"/>
    <x v="1"/>
    <x v="1"/>
    <x v="0"/>
    <x v="27"/>
    <x v="0"/>
    <x v="0"/>
    <x v="0"/>
    <x v="0"/>
    <x v="0"/>
    <x v="0"/>
    <x v="0"/>
  </r>
  <r>
    <x v="71"/>
    <x v="10"/>
    <n v="0.48"/>
    <s v="https://www.woodworkerssource.com/mm5/graphics/woods_products/hardwood_dowels/birch_dowels_001.jpg_x000a_"/>
    <x v="2"/>
    <x v="71"/>
    <x v="0"/>
    <x v="1"/>
    <x v="1"/>
    <x v="0"/>
    <x v="57"/>
    <x v="0"/>
    <x v="0"/>
    <x v="0"/>
    <x v="0"/>
    <x v="0"/>
    <x v="0"/>
    <x v="0"/>
  </r>
  <r>
    <x v="72"/>
    <x v="10"/>
    <n v="0.67"/>
    <s v="https://www.woodworkerssource.com/mm5/graphics/woods_products/hardwood_dowels/birch_dowels_001.jpg_x000a_"/>
    <x v="2"/>
    <x v="72"/>
    <x v="0"/>
    <x v="1"/>
    <x v="3"/>
    <x v="0"/>
    <x v="58"/>
    <x v="0"/>
    <x v="0"/>
    <x v="0"/>
    <x v="0"/>
    <x v="0"/>
    <x v="0"/>
    <x v="0"/>
  </r>
  <r>
    <x v="73"/>
    <x v="10"/>
    <n v="1.1100000000000001"/>
    <s v="https://www.woodworkerssource.com/mm5/graphics/woods_products/hardwood_dowels/birch_dowels_001.jpg_x000a_"/>
    <x v="2"/>
    <x v="73"/>
    <x v="0"/>
    <x v="1"/>
    <x v="0"/>
    <x v="0"/>
    <x v="59"/>
    <x v="0"/>
    <x v="0"/>
    <x v="0"/>
    <x v="0"/>
    <x v="0"/>
    <x v="0"/>
    <x v="0"/>
  </r>
  <r>
    <x v="74"/>
    <x v="10"/>
    <n v="0.45"/>
    <s v="https://www.woodworkerssource.com/mm5/graphics/woods_products/hardwood_dowels/birch_dowels_001.jpg_x000a_"/>
    <x v="2"/>
    <x v="74"/>
    <x v="0"/>
    <x v="1"/>
    <x v="0"/>
    <x v="0"/>
    <x v="60"/>
    <x v="0"/>
    <x v="0"/>
    <x v="0"/>
    <x v="0"/>
    <x v="0"/>
    <x v="0"/>
    <x v="0"/>
  </r>
  <r>
    <x v="75"/>
    <x v="10"/>
    <n v="1.92"/>
    <s v="https://www.woodworkerssource.com/mm5/graphics/woods_products/hardwood_dowels/birch_dowels_001.jpg_x000a_"/>
    <x v="2"/>
    <x v="75"/>
    <x v="0"/>
    <x v="1"/>
    <x v="0"/>
    <x v="0"/>
    <x v="13"/>
    <x v="0"/>
    <x v="0"/>
    <x v="0"/>
    <x v="0"/>
    <x v="0"/>
    <x v="0"/>
    <x v="0"/>
  </r>
  <r>
    <x v="76"/>
    <x v="10"/>
    <n v="2.56"/>
    <s v="https://www.woodworkerssource.com/mm5/graphics/woods_products/hardwood_dowels/birch_dowels_001.jpg_x000a_"/>
    <x v="2"/>
    <x v="76"/>
    <x v="0"/>
    <x v="1"/>
    <x v="0"/>
    <x v="0"/>
    <x v="61"/>
    <x v="0"/>
    <x v="0"/>
    <x v="0"/>
    <x v="0"/>
    <x v="0"/>
    <x v="0"/>
    <x v="0"/>
  </r>
  <r>
    <x v="77"/>
    <x v="10"/>
    <n v="3.12"/>
    <s v="https://www.woodworkerssource.com/mm5/graphics/woods_products/hardwood_dowels/birch_dowels_001.jpg_x000a_"/>
    <x v="2"/>
    <x v="77"/>
    <x v="0"/>
    <x v="1"/>
    <x v="0"/>
    <x v="0"/>
    <x v="62"/>
    <x v="0"/>
    <x v="0"/>
    <x v="0"/>
    <x v="0"/>
    <x v="0"/>
    <x v="0"/>
    <x v="0"/>
  </r>
  <r>
    <x v="78"/>
    <x v="9"/>
    <n v="0.08"/>
    <s v="https://cdn.shopify.com/s/files/1/2281/6393/products/yy1SIGBA226.jpg?v=1504658427_x000a_"/>
    <x v="2"/>
    <x v="78"/>
    <x v="0"/>
    <x v="1"/>
    <x v="0"/>
    <x v="0"/>
    <x v="63"/>
    <x v="0"/>
    <x v="0"/>
    <x v="0"/>
    <x v="0"/>
    <x v="0"/>
    <x v="0"/>
    <x v="0"/>
  </r>
  <r>
    <x v="79"/>
    <x v="9"/>
    <n v="0.08"/>
    <s v="https://cdn.shopify.com/s/files/1/2281/6393/products/yy1SIGBA226.jpg?v=1504658427_x000a_"/>
    <x v="2"/>
    <x v="79"/>
    <x v="0"/>
    <x v="1"/>
    <x v="0"/>
    <x v="0"/>
    <x v="63"/>
    <x v="0"/>
    <x v="0"/>
    <x v="0"/>
    <x v="0"/>
    <x v="0"/>
    <x v="0"/>
    <x v="0"/>
  </r>
  <r>
    <x v="80"/>
    <x v="9"/>
    <n v="0.1"/>
    <s v="https://cdn.shopify.com/s/files/1/2281/6393/products/yy1SIGBA226.jpg?v=1504658427_x000a_"/>
    <x v="2"/>
    <x v="80"/>
    <x v="0"/>
    <x v="1"/>
    <x v="0"/>
    <x v="0"/>
    <x v="64"/>
    <x v="0"/>
    <x v="0"/>
    <x v="0"/>
    <x v="0"/>
    <x v="0"/>
    <x v="0"/>
    <x v="0"/>
  </r>
  <r>
    <x v="81"/>
    <x v="9"/>
    <n v="0.17"/>
    <s v="https://cdn.shopify.com/s/files/1/2281/6393/products/yy1SIGBA226.jpg?v=1504658427_x000a_"/>
    <x v="2"/>
    <x v="81"/>
    <x v="0"/>
    <x v="1"/>
    <x v="0"/>
    <x v="0"/>
    <x v="65"/>
    <x v="0"/>
    <x v="0"/>
    <x v="0"/>
    <x v="0"/>
    <x v="0"/>
    <x v="0"/>
    <x v="0"/>
  </r>
  <r>
    <x v="82"/>
    <x v="9"/>
    <n v="0.26"/>
    <s v="https://cdn.shopify.com/s/files/1/2281/6393/products/yy1SIGBA226.jpg?v=1504658427_x000a_"/>
    <x v="2"/>
    <x v="82"/>
    <x v="0"/>
    <x v="1"/>
    <x v="0"/>
    <x v="0"/>
    <x v="66"/>
    <x v="0"/>
    <x v="0"/>
    <x v="0"/>
    <x v="0"/>
    <x v="0"/>
    <x v="0"/>
    <x v="0"/>
  </r>
  <r>
    <x v="83"/>
    <x v="9"/>
    <n v="0.34"/>
    <s v="https://cdn.shopify.com/s/files/1/2281/6393/products/yy1SIGBA226.jpg?v=1504658427_x000a_"/>
    <x v="2"/>
    <x v="83"/>
    <x v="0"/>
    <x v="1"/>
    <x v="0"/>
    <x v="0"/>
    <x v="67"/>
    <x v="0"/>
    <x v="0"/>
    <x v="0"/>
    <x v="0"/>
    <x v="0"/>
    <x v="0"/>
    <x v="0"/>
  </r>
  <r>
    <x v="84"/>
    <x v="9"/>
    <n v="0.42"/>
    <s v="https://cdn.shopify.com/s/files/1/2281/6393/products/yy1SIGBA226.jpg?v=1504658427_x000a_"/>
    <x v="2"/>
    <x v="84"/>
    <x v="0"/>
    <x v="1"/>
    <x v="0"/>
    <x v="0"/>
    <x v="68"/>
    <x v="0"/>
    <x v="0"/>
    <x v="0"/>
    <x v="0"/>
    <x v="0"/>
    <x v="0"/>
    <x v="0"/>
  </r>
  <r>
    <x v="85"/>
    <x v="9"/>
    <n v="0.26"/>
    <s v="https://cdn.shopify.com/s/files/1/2281/6393/products/yy1SIGBA226.jpg?v=1504658427_x000a_"/>
    <x v="2"/>
    <x v="85"/>
    <x v="0"/>
    <x v="1"/>
    <x v="0"/>
    <x v="0"/>
    <x v="66"/>
    <x v="0"/>
    <x v="0"/>
    <x v="0"/>
    <x v="0"/>
    <x v="0"/>
    <x v="0"/>
    <x v="0"/>
  </r>
  <r>
    <x v="86"/>
    <x v="9"/>
    <n v="0.43"/>
    <s v="https://cdn.shopify.com/s/files/1/2281/6393/products/yy1SIGBA226.jpg?v=1504658427_x000a_"/>
    <x v="2"/>
    <x v="86"/>
    <x v="0"/>
    <x v="1"/>
    <x v="0"/>
    <x v="0"/>
    <x v="69"/>
    <x v="0"/>
    <x v="0"/>
    <x v="0"/>
    <x v="0"/>
    <x v="0"/>
    <x v="0"/>
    <x v="0"/>
  </r>
  <r>
    <x v="87"/>
    <x v="9"/>
    <n v="0.61"/>
    <s v="https://cdn.shopify.com/s/files/1/2281/6393/products/yy1SIGBA226.jpg?v=1504658427_x000a_"/>
    <x v="2"/>
    <x v="87"/>
    <x v="0"/>
    <x v="1"/>
    <x v="0"/>
    <x v="0"/>
    <x v="70"/>
    <x v="0"/>
    <x v="0"/>
    <x v="0"/>
    <x v="0"/>
    <x v="0"/>
    <x v="0"/>
    <x v="0"/>
  </r>
  <r>
    <x v="88"/>
    <x v="9"/>
    <n v="0.72"/>
    <s v="https://cdn.shopify.com/s/files/1/2281/6393/products/yy1SIGBA226.jpg?v=1504658427_x000a_"/>
    <x v="2"/>
    <x v="88"/>
    <x v="0"/>
    <x v="1"/>
    <x v="0"/>
    <x v="0"/>
    <x v="71"/>
    <x v="0"/>
    <x v="0"/>
    <x v="0"/>
    <x v="0"/>
    <x v="0"/>
    <x v="0"/>
    <x v="0"/>
  </r>
  <r>
    <x v="89"/>
    <x v="9"/>
    <n v="0.99"/>
    <s v="https://cdn.shopify.com/s/files/1/2281/6393/products/yy1SIGBA226.jpg?v=1504658427_x000a_"/>
    <x v="2"/>
    <x v="89"/>
    <x v="0"/>
    <x v="1"/>
    <x v="1"/>
    <x v="0"/>
    <x v="72"/>
    <x v="0"/>
    <x v="0"/>
    <x v="0"/>
    <x v="0"/>
    <x v="0"/>
    <x v="0"/>
    <x v="0"/>
  </r>
  <r>
    <x v="90"/>
    <x v="16"/>
    <n v="0.56000000000000005"/>
    <s v="https://www.carbuilder.com/images/thumbs/0029813_soft-pvc-hose-3mm-id-6mm-od-per-metre.jpeg_x000a_"/>
    <x v="2"/>
    <x v="90"/>
    <x v="1"/>
    <x v="1"/>
    <x v="1"/>
    <x v="0"/>
    <x v="28"/>
    <x v="0"/>
    <x v="0"/>
    <x v="0"/>
    <x v="0"/>
    <x v="0"/>
    <x v="0"/>
    <x v="0"/>
  </r>
  <r>
    <x v="91"/>
    <x v="16"/>
    <n v="1.01"/>
    <s v="https://images.globalindustrial.ca/images/pd/US5_ZUSA-HT-1158.jpg?t=1647179881000_x000a_"/>
    <x v="2"/>
    <x v="91"/>
    <x v="1"/>
    <x v="1"/>
    <x v="0"/>
    <x v="0"/>
    <x v="73"/>
    <x v="0"/>
    <x v="0"/>
    <x v="0"/>
    <x v="0"/>
    <x v="0"/>
    <x v="0"/>
    <x v="0"/>
  </r>
  <r>
    <x v="92"/>
    <x v="2"/>
    <n v="0.34"/>
    <m/>
    <x v="2"/>
    <x v="92"/>
    <x v="0"/>
    <x v="1"/>
    <x v="0"/>
    <x v="0"/>
    <x v="67"/>
    <x v="0"/>
    <x v="0"/>
    <x v="0"/>
    <x v="0"/>
    <x v="0"/>
    <x v="0"/>
    <x v="0"/>
  </r>
  <r>
    <x v="93"/>
    <x v="16"/>
    <n v="0.7"/>
    <s v="https://cdn.shopify.com/s/files/1/2723/8896/products/ldqvanvee4vkyddduwin_eff5d399-4560-4d6c-9655-31867978f477_500x.jpg?v=1662113591_x000a_"/>
    <x v="2"/>
    <x v="93"/>
    <x v="0"/>
    <x v="1"/>
    <x v="0"/>
    <x v="0"/>
    <x v="74"/>
    <x v="0"/>
    <x v="0"/>
    <x v="0"/>
    <x v="0"/>
    <x v="0"/>
    <x v="0"/>
    <x v="0"/>
  </r>
  <r>
    <x v="94"/>
    <x v="17"/>
    <n v="4.47"/>
    <s v="https://utoronto.sharepoint.com/:i:/r/sites/fase-myhalfabrication/PNGs/2525_TSlot.png_x000a_2525 specs"/>
    <x v="12"/>
    <x v="94"/>
    <x v="2"/>
    <x v="1"/>
    <x v="0"/>
    <x v="1"/>
    <x v="75"/>
    <x v="0"/>
    <x v="0"/>
    <x v="0"/>
    <x v="1"/>
    <x v="0"/>
    <x v="0"/>
    <x v="0"/>
  </r>
  <r>
    <x v="95"/>
    <x v="17"/>
    <n v="7.21"/>
    <s v="https://utoronto.sharepoint.com/:i:/r/sites/fase-myhalfabrication/PNGs/2550_TSlot.png?csf=1&amp;web=1&amp;e=y2iIqJ_x000a_2550"/>
    <x v="12"/>
    <x v="95"/>
    <x v="3"/>
    <x v="1"/>
    <x v="0"/>
    <x v="1"/>
    <x v="76"/>
    <x v="0"/>
    <x v="0"/>
    <x v="0"/>
    <x v="1"/>
    <x v="0"/>
    <x v="0"/>
    <x v="0"/>
  </r>
  <r>
    <x v="96"/>
    <x v="0"/>
    <n v="2.84"/>
    <s v="https://i.ebayimg.com/images/g/kiAAAOSwr~lYsZH9/s-l300.jpg_x000a_"/>
    <x v="1"/>
    <x v="96"/>
    <x v="0"/>
    <x v="1"/>
    <x v="1"/>
    <x v="0"/>
    <x v="77"/>
    <x v="0"/>
    <x v="0"/>
    <x v="0"/>
    <x v="0"/>
    <x v="0"/>
    <x v="0"/>
    <x v="0"/>
  </r>
  <r>
    <x v="97"/>
    <x v="18"/>
    <n v="3.66"/>
    <m/>
    <x v="0"/>
    <x v="97"/>
    <x v="0"/>
    <x v="1"/>
    <x v="2"/>
    <x v="0"/>
    <x v="78"/>
    <x v="0"/>
    <x v="0"/>
    <x v="0"/>
    <x v="0"/>
    <x v="0"/>
    <x v="0"/>
    <x v="0"/>
  </r>
  <r>
    <x v="98"/>
    <x v="18"/>
    <n v="12.42"/>
    <m/>
    <x v="0"/>
    <x v="98"/>
    <x v="0"/>
    <x v="1"/>
    <x v="0"/>
    <x v="0"/>
    <x v="79"/>
    <x v="0"/>
    <x v="0"/>
    <x v="0"/>
    <x v="0"/>
    <x v="0"/>
    <x v="0"/>
    <x v="0"/>
  </r>
  <r>
    <x v="99"/>
    <x v="19"/>
    <n v="0.03"/>
    <m/>
    <x v="13"/>
    <x v="99"/>
    <x v="0"/>
    <x v="1"/>
    <x v="0"/>
    <x v="0"/>
    <x v="80"/>
    <x v="1"/>
    <x v="0"/>
    <x v="0"/>
    <x v="0"/>
    <x v="0"/>
    <x v="0"/>
    <x v="0"/>
  </r>
  <r>
    <x v="100"/>
    <x v="19"/>
    <n v="0.04"/>
    <m/>
    <x v="13"/>
    <x v="100"/>
    <x v="0"/>
    <x v="1"/>
    <x v="0"/>
    <x v="0"/>
    <x v="81"/>
    <x v="2"/>
    <x v="0"/>
    <x v="0"/>
    <x v="0"/>
    <x v="0"/>
    <x v="0"/>
    <x v="0"/>
  </r>
  <r>
    <x v="101"/>
    <x v="19"/>
    <n v="0.03"/>
    <m/>
    <x v="13"/>
    <x v="101"/>
    <x v="0"/>
    <x v="1"/>
    <x v="0"/>
    <x v="0"/>
    <x v="80"/>
    <x v="2"/>
    <x v="0"/>
    <x v="0"/>
    <x v="2"/>
    <x v="0"/>
    <x v="0"/>
    <x v="0"/>
  </r>
  <r>
    <x v="102"/>
    <x v="19"/>
    <n v="0.42"/>
    <m/>
    <x v="14"/>
    <x v="102"/>
    <x v="0"/>
    <x v="1"/>
    <x v="0"/>
    <x v="0"/>
    <x v="68"/>
    <x v="3"/>
    <x v="0"/>
    <x v="0"/>
    <x v="2"/>
    <x v="0"/>
    <x v="0"/>
    <x v="0"/>
  </r>
  <r>
    <x v="103"/>
    <x v="19"/>
    <n v="0.51"/>
    <m/>
    <x v="14"/>
    <x v="103"/>
    <x v="0"/>
    <x v="1"/>
    <x v="0"/>
    <x v="0"/>
    <x v="15"/>
    <x v="3"/>
    <x v="0"/>
    <x v="0"/>
    <x v="2"/>
    <x v="0"/>
    <x v="0"/>
    <x v="0"/>
  </r>
  <r>
    <x v="104"/>
    <x v="19"/>
    <n v="0.51"/>
    <m/>
    <x v="14"/>
    <x v="104"/>
    <x v="0"/>
    <x v="1"/>
    <x v="0"/>
    <x v="0"/>
    <x v="15"/>
    <x v="3"/>
    <x v="0"/>
    <x v="0"/>
    <x v="2"/>
    <x v="0"/>
    <x v="0"/>
    <x v="0"/>
  </r>
  <r>
    <x v="105"/>
    <x v="19"/>
    <n v="0.35"/>
    <m/>
    <x v="13"/>
    <x v="105"/>
    <x v="0"/>
    <x v="1"/>
    <x v="0"/>
    <x v="0"/>
    <x v="82"/>
    <x v="4"/>
    <x v="0"/>
    <x v="0"/>
    <x v="2"/>
    <x v="0"/>
    <x v="0"/>
    <x v="0"/>
  </r>
  <r>
    <x v="106"/>
    <x v="17"/>
    <n v="12.52"/>
    <s v="https://cdn11.bigcommerce.com/s-mh3dry/images/stencil/1280x1280/products/1709/5044/25-4136_photo__29616.1674061796.png?c=2_x000a_"/>
    <x v="9"/>
    <x v="106"/>
    <x v="0"/>
    <x v="1"/>
    <x v="0"/>
    <x v="1"/>
    <x v="83"/>
    <x v="0"/>
    <x v="1"/>
    <x v="0"/>
    <x v="1"/>
    <x v="0"/>
    <x v="0"/>
    <x v="0"/>
  </r>
  <r>
    <x v="107"/>
    <x v="17"/>
    <n v="8.73"/>
    <s v="https://cdn11.bigcommerce.com/s-mh3dry/images/stencil/1280x1280/products/1686/4975/25-4132_photo__21733.1674061751.png?c=2_x000a_"/>
    <x v="9"/>
    <x v="107"/>
    <x v="0"/>
    <x v="1"/>
    <x v="0"/>
    <x v="1"/>
    <x v="84"/>
    <x v="0"/>
    <x v="0"/>
    <x v="0"/>
    <x v="1"/>
    <x v="0"/>
    <x v="0"/>
    <x v="0"/>
  </r>
  <r>
    <x v="108"/>
    <x v="17"/>
    <n v="12.52"/>
    <s v="https://cdn11.bigcommerce.com/s-mh3dry/images/stencil/1280x1280/products/1721/5080/25-4134_photo__84350.1674061822.png?c=2_x000a_"/>
    <x v="9"/>
    <x v="108"/>
    <x v="0"/>
    <x v="1"/>
    <x v="0"/>
    <x v="1"/>
    <x v="83"/>
    <x v="0"/>
    <x v="0"/>
    <x v="0"/>
    <x v="1"/>
    <x v="0"/>
    <x v="0"/>
    <x v="0"/>
  </r>
  <r>
    <x v="109"/>
    <x v="17"/>
    <n v="1.47"/>
    <s v="https://cdn11.bigcommerce.com/s-mh3dry/images/stencil/640w/products/1947/5982/14164_photo__99074.1674063371.png?c=2_x000a_"/>
    <x v="9"/>
    <x v="109"/>
    <x v="0"/>
    <x v="1"/>
    <x v="0"/>
    <x v="1"/>
    <x v="85"/>
    <x v="0"/>
    <x v="0"/>
    <x v="0"/>
    <x v="1"/>
    <x v="0"/>
    <x v="0"/>
    <x v="0"/>
  </r>
  <r>
    <x v="110"/>
    <x v="17"/>
    <n v="29.04"/>
    <s v="https://cdn11.bigcommerce.com/s-mh3dry/images/stencil/1280x1280/products/3078/8425/25-6760_photo__17298.1674159870.png?c=2_x000a_"/>
    <x v="9"/>
    <x v="110"/>
    <x v="0"/>
    <x v="1"/>
    <x v="0"/>
    <x v="1"/>
    <x v="86"/>
    <x v="0"/>
    <x v="0"/>
    <x v="0"/>
    <x v="1"/>
    <x v="0"/>
    <x v="0"/>
    <x v="0"/>
  </r>
  <r>
    <x v="111"/>
    <x v="17"/>
    <n v="4.46"/>
    <s v="https://cdn11.bigcommerce.com/s-mh3dry/images/stencil/1280x1280/products/3204/8673/25-6706_photo__92677.1674160066.png?c=2_x000a_"/>
    <x v="9"/>
    <x v="111"/>
    <x v="0"/>
    <x v="1"/>
    <x v="0"/>
    <x v="1"/>
    <x v="87"/>
    <x v="0"/>
    <x v="0"/>
    <x v="0"/>
    <x v="1"/>
    <x v="0"/>
    <x v="0"/>
    <x v="0"/>
  </r>
  <r>
    <x v="112"/>
    <x v="17"/>
    <n v="10.18"/>
    <s v="https://cdn11.bigcommerce.com/s-mh3dry/images/stencil/1280x1280/products/3267/8803/25-4181_photo__12868.1674160159.png?c=2_x000a_"/>
    <x v="9"/>
    <x v="112"/>
    <x v="0"/>
    <x v="1"/>
    <x v="0"/>
    <x v="1"/>
    <x v="88"/>
    <x v="0"/>
    <x v="0"/>
    <x v="0"/>
    <x v="1"/>
    <x v="0"/>
    <x v="0"/>
    <x v="0"/>
  </r>
  <r>
    <x v="113"/>
    <x v="17"/>
    <n v="9.61"/>
    <s v="https://cdn11.bigcommerce.com/s-mh3dry/images/stencil/1280x1280/products/5044/12931/12099_photo__49524.1674247473.png?c=2_x000a_"/>
    <x v="9"/>
    <x v="113"/>
    <x v="0"/>
    <x v="1"/>
    <x v="0"/>
    <x v="1"/>
    <x v="89"/>
    <x v="0"/>
    <x v="0"/>
    <x v="0"/>
    <x v="1"/>
    <x v="0"/>
    <x v="0"/>
    <x v="0"/>
  </r>
  <r>
    <x v="114"/>
    <x v="17"/>
    <n v="0.55000000000000004"/>
    <s v="https://cdn11.bigcommerce.com/s-mh3dry/images/stencil/1280x1280/products/1752/5196/25-1951_photo__74380.1674061899.png?c=2_x000a_"/>
    <x v="9"/>
    <x v="114"/>
    <x v="0"/>
    <x v="1"/>
    <x v="0"/>
    <x v="1"/>
    <x v="52"/>
    <x v="0"/>
    <x v="0"/>
    <x v="0"/>
    <x v="1"/>
    <x v="0"/>
    <x v="0"/>
    <x v="0"/>
  </r>
  <r>
    <x v="115"/>
    <x v="17"/>
    <n v="40.06"/>
    <s v="https://cdn11.bigcommerce.com/s-mh3dry/images/stencil/1280x1280/products/3331/8963/25-4180_photo__79873.1674160283.png?c=2_x000a_"/>
    <x v="9"/>
    <x v="115"/>
    <x v="0"/>
    <x v="1"/>
    <x v="0"/>
    <x v="1"/>
    <x v="90"/>
    <x v="0"/>
    <x v="0"/>
    <x v="0"/>
    <x v="1"/>
    <x v="0"/>
    <x v="0"/>
    <x v="0"/>
  </r>
  <r>
    <x v="116"/>
    <x v="13"/>
    <n v="1.3"/>
    <m/>
    <x v="1"/>
    <x v="116"/>
    <x v="0"/>
    <x v="1"/>
    <x v="0"/>
    <x v="0"/>
    <x v="91"/>
    <x v="0"/>
    <x v="2"/>
    <x v="1"/>
    <x v="2"/>
    <x v="0"/>
    <x v="0"/>
    <x v="0"/>
  </r>
  <r>
    <x v="117"/>
    <x v="2"/>
    <n v="0.72"/>
    <m/>
    <x v="2"/>
    <x v="117"/>
    <x v="0"/>
    <x v="1"/>
    <x v="0"/>
    <x v="0"/>
    <x v="71"/>
    <x v="0"/>
    <x v="0"/>
    <x v="0"/>
    <x v="2"/>
    <x v="0"/>
    <x v="0"/>
    <x v="0"/>
  </r>
  <r>
    <x v="118"/>
    <x v="15"/>
    <n v="4.96"/>
    <m/>
    <x v="9"/>
    <x v="118"/>
    <x v="0"/>
    <x v="1"/>
    <x v="0"/>
    <x v="0"/>
    <x v="92"/>
    <x v="0"/>
    <x v="0"/>
    <x v="0"/>
    <x v="0"/>
    <x v="0"/>
    <x v="0"/>
    <x v="0"/>
  </r>
  <r>
    <x v="119"/>
    <x v="15"/>
    <n v="4.09"/>
    <m/>
    <x v="9"/>
    <x v="119"/>
    <x v="0"/>
    <x v="1"/>
    <x v="0"/>
    <x v="0"/>
    <x v="93"/>
    <x v="0"/>
    <x v="0"/>
    <x v="0"/>
    <x v="0"/>
    <x v="0"/>
    <x v="0"/>
    <x v="0"/>
  </r>
  <r>
    <x v="120"/>
    <x v="15"/>
    <n v="2.85"/>
    <m/>
    <x v="9"/>
    <x v="120"/>
    <x v="0"/>
    <x v="1"/>
    <x v="0"/>
    <x v="0"/>
    <x v="94"/>
    <x v="0"/>
    <x v="0"/>
    <x v="0"/>
    <x v="0"/>
    <x v="0"/>
    <x v="0"/>
    <x v="0"/>
  </r>
  <r>
    <x v="121"/>
    <x v="15"/>
    <n v="2.85"/>
    <m/>
    <x v="9"/>
    <x v="121"/>
    <x v="0"/>
    <x v="1"/>
    <x v="0"/>
    <x v="0"/>
    <x v="94"/>
    <x v="0"/>
    <x v="0"/>
    <x v="0"/>
    <x v="0"/>
    <x v="0"/>
    <x v="0"/>
    <x v="0"/>
  </r>
  <r>
    <x v="122"/>
    <x v="15"/>
    <n v="2.4700000000000002"/>
    <m/>
    <x v="1"/>
    <x v="122"/>
    <x v="0"/>
    <x v="1"/>
    <x v="0"/>
    <x v="0"/>
    <x v="95"/>
    <x v="0"/>
    <x v="0"/>
    <x v="0"/>
    <x v="0"/>
    <x v="0"/>
    <x v="0"/>
    <x v="0"/>
  </r>
  <r>
    <x v="123"/>
    <x v="15"/>
    <n v="1.98"/>
    <m/>
    <x v="9"/>
    <x v="123"/>
    <x v="0"/>
    <x v="1"/>
    <x v="1"/>
    <x v="0"/>
    <x v="96"/>
    <x v="0"/>
    <x v="0"/>
    <x v="0"/>
    <x v="0"/>
    <x v="0"/>
    <x v="0"/>
    <x v="0"/>
  </r>
  <r>
    <x v="124"/>
    <x v="15"/>
    <n v="2.85"/>
    <m/>
    <x v="9"/>
    <x v="124"/>
    <x v="0"/>
    <x v="1"/>
    <x v="0"/>
    <x v="0"/>
    <x v="94"/>
    <x v="0"/>
    <x v="0"/>
    <x v="0"/>
    <x v="0"/>
    <x v="0"/>
    <x v="0"/>
    <x v="0"/>
  </r>
  <r>
    <x v="125"/>
    <x v="15"/>
    <n v="3.72"/>
    <m/>
    <x v="9"/>
    <x v="125"/>
    <x v="0"/>
    <x v="1"/>
    <x v="1"/>
    <x v="0"/>
    <x v="97"/>
    <x v="0"/>
    <x v="0"/>
    <x v="0"/>
    <x v="0"/>
    <x v="0"/>
    <x v="0"/>
    <x v="0"/>
  </r>
  <r>
    <x v="126"/>
    <x v="15"/>
    <n v="2.4700000000000002"/>
    <m/>
    <x v="9"/>
    <x v="126"/>
    <x v="0"/>
    <x v="1"/>
    <x v="0"/>
    <x v="0"/>
    <x v="95"/>
    <x v="0"/>
    <x v="0"/>
    <x v="0"/>
    <x v="0"/>
    <x v="0"/>
    <x v="0"/>
    <x v="0"/>
  </r>
  <r>
    <x v="127"/>
    <x v="15"/>
    <n v="4.21"/>
    <m/>
    <x v="9"/>
    <x v="127"/>
    <x v="0"/>
    <x v="1"/>
    <x v="0"/>
    <x v="0"/>
    <x v="98"/>
    <x v="0"/>
    <x v="0"/>
    <x v="0"/>
    <x v="0"/>
    <x v="0"/>
    <x v="0"/>
    <x v="0"/>
  </r>
  <r>
    <x v="128"/>
    <x v="15"/>
    <n v="2.4700000000000002"/>
    <m/>
    <x v="9"/>
    <x v="128"/>
    <x v="0"/>
    <x v="1"/>
    <x v="0"/>
    <x v="0"/>
    <x v="95"/>
    <x v="0"/>
    <x v="0"/>
    <x v="0"/>
    <x v="0"/>
    <x v="0"/>
    <x v="0"/>
    <x v="0"/>
  </r>
  <r>
    <x v="129"/>
    <x v="15"/>
    <n v="2.1"/>
    <m/>
    <x v="9"/>
    <x v="129"/>
    <x v="0"/>
    <x v="1"/>
    <x v="0"/>
    <x v="0"/>
    <x v="99"/>
    <x v="0"/>
    <x v="0"/>
    <x v="0"/>
    <x v="0"/>
    <x v="0"/>
    <x v="0"/>
    <x v="0"/>
  </r>
  <r>
    <x v="130"/>
    <x v="15"/>
    <n v="1.73"/>
    <m/>
    <x v="9"/>
    <x v="130"/>
    <x v="0"/>
    <x v="1"/>
    <x v="0"/>
    <x v="0"/>
    <x v="100"/>
    <x v="0"/>
    <x v="0"/>
    <x v="0"/>
    <x v="0"/>
    <x v="0"/>
    <x v="0"/>
    <x v="0"/>
  </r>
  <r>
    <x v="131"/>
    <x v="15"/>
    <n v="1.23"/>
    <m/>
    <x v="9"/>
    <x v="131"/>
    <x v="0"/>
    <x v="1"/>
    <x v="0"/>
    <x v="0"/>
    <x v="101"/>
    <x v="0"/>
    <x v="0"/>
    <x v="0"/>
    <x v="0"/>
    <x v="0"/>
    <x v="0"/>
    <x v="0"/>
  </r>
  <r>
    <x v="132"/>
    <x v="15"/>
    <n v="1.98"/>
    <m/>
    <x v="9"/>
    <x v="132"/>
    <x v="0"/>
    <x v="1"/>
    <x v="0"/>
    <x v="0"/>
    <x v="96"/>
    <x v="0"/>
    <x v="0"/>
    <x v="0"/>
    <x v="0"/>
    <x v="0"/>
    <x v="0"/>
    <x v="0"/>
  </r>
  <r>
    <x v="133"/>
    <x v="15"/>
    <n v="1.73"/>
    <m/>
    <x v="9"/>
    <x v="133"/>
    <x v="0"/>
    <x v="1"/>
    <x v="0"/>
    <x v="0"/>
    <x v="100"/>
    <x v="0"/>
    <x v="0"/>
    <x v="0"/>
    <x v="0"/>
    <x v="0"/>
    <x v="0"/>
    <x v="0"/>
  </r>
  <r>
    <x v="134"/>
    <x v="15"/>
    <n v="5.95"/>
    <m/>
    <x v="9"/>
    <x v="134"/>
    <x v="0"/>
    <x v="1"/>
    <x v="0"/>
    <x v="0"/>
    <x v="102"/>
    <x v="0"/>
    <x v="0"/>
    <x v="0"/>
    <x v="0"/>
    <x v="0"/>
    <x v="0"/>
    <x v="0"/>
  </r>
  <r>
    <x v="135"/>
    <x v="15"/>
    <n v="4.09"/>
    <m/>
    <x v="9"/>
    <x v="135"/>
    <x v="0"/>
    <x v="1"/>
    <x v="0"/>
    <x v="0"/>
    <x v="93"/>
    <x v="0"/>
    <x v="0"/>
    <x v="0"/>
    <x v="0"/>
    <x v="0"/>
    <x v="0"/>
    <x v="0"/>
  </r>
  <r>
    <x v="136"/>
    <x v="0"/>
    <n v="6.1"/>
    <s v="https://i.ebayimg.com/images/g/kiAAAOSwr~lYsZH9/s-l300.jpg_x000a_"/>
    <x v="15"/>
    <x v="136"/>
    <x v="0"/>
    <x v="1"/>
    <x v="0"/>
    <x v="0"/>
    <x v="103"/>
    <x v="0"/>
    <x v="0"/>
    <x v="0"/>
    <x v="0"/>
    <x v="0"/>
    <x v="0"/>
    <x v="0"/>
  </r>
  <r>
    <x v="137"/>
    <x v="0"/>
    <n v="12.2"/>
    <s v="https://i.ebayimg.com/images/g/kiAAAOSwr~lYsZH9/s-l300.jpg_x000a_"/>
    <x v="16"/>
    <x v="137"/>
    <x v="0"/>
    <x v="1"/>
    <x v="0"/>
    <x v="0"/>
    <x v="104"/>
    <x v="0"/>
    <x v="0"/>
    <x v="0"/>
    <x v="0"/>
    <x v="0"/>
    <x v="0"/>
    <x v="0"/>
  </r>
  <r>
    <x v="138"/>
    <x v="0"/>
    <n v="3.94"/>
    <s v="https://i.ebayimg.com/images/g/kiAAAOSwr~lYsZH9/s-l300.jpg_x000a_"/>
    <x v="15"/>
    <x v="138"/>
    <x v="0"/>
    <x v="1"/>
    <x v="0"/>
    <x v="0"/>
    <x v="105"/>
    <x v="0"/>
    <x v="0"/>
    <x v="0"/>
    <x v="0"/>
    <x v="0"/>
    <x v="0"/>
    <x v="0"/>
  </r>
  <r>
    <x v="139"/>
    <x v="0"/>
    <n v="7.88"/>
    <s v="https://i.ebayimg.com/images/g/kiAAAOSwr~lYsZH9/s-l300.jpg_x000a_"/>
    <x v="16"/>
    <x v="139"/>
    <x v="0"/>
    <x v="1"/>
    <x v="0"/>
    <x v="0"/>
    <x v="44"/>
    <x v="0"/>
    <x v="0"/>
    <x v="0"/>
    <x v="0"/>
    <x v="0"/>
    <x v="0"/>
    <x v="0"/>
  </r>
  <r>
    <x v="96"/>
    <x v="0"/>
    <n v="5.68"/>
    <s v="https://i.ebayimg.com/images/g/kiAAAOSwr~lYsZH9/s-l300.jpg_x000a_"/>
    <x v="1"/>
    <x v="140"/>
    <x v="0"/>
    <x v="1"/>
    <x v="1"/>
    <x v="0"/>
    <x v="106"/>
    <x v="0"/>
    <x v="0"/>
    <x v="0"/>
    <x v="0"/>
    <x v="0"/>
    <x v="0"/>
    <x v="0"/>
  </r>
  <r>
    <x v="140"/>
    <x v="0"/>
    <n v="11.36"/>
    <s v="https://i.ebayimg.com/images/g/kiAAAOSwr~lYsZH9/s-l300.jpg_x000a_"/>
    <x v="16"/>
    <x v="141"/>
    <x v="0"/>
    <x v="1"/>
    <x v="1"/>
    <x v="0"/>
    <x v="107"/>
    <x v="0"/>
    <x v="0"/>
    <x v="0"/>
    <x v="0"/>
    <x v="0"/>
    <x v="0"/>
    <x v="0"/>
  </r>
  <r>
    <x v="141"/>
    <x v="0"/>
    <n v="2.44"/>
    <s v="https://i.ebayimg.com/images/g/kiAAAOSwr~lYsZH9/s-l300.jpg_x000a_"/>
    <x v="15"/>
    <x v="142"/>
    <x v="0"/>
    <x v="1"/>
    <x v="0"/>
    <x v="0"/>
    <x v="108"/>
    <x v="0"/>
    <x v="0"/>
    <x v="0"/>
    <x v="0"/>
    <x v="0"/>
    <x v="0"/>
    <x v="0"/>
  </r>
  <r>
    <x v="142"/>
    <x v="0"/>
    <n v="4.88"/>
    <s v="https://i.ebayimg.com/images/g/kiAAAOSwr~lYsZH9/s-l300.jpg_x000a_"/>
    <x v="16"/>
    <x v="143"/>
    <x v="0"/>
    <x v="1"/>
    <x v="0"/>
    <x v="0"/>
    <x v="109"/>
    <x v="0"/>
    <x v="0"/>
    <x v="0"/>
    <x v="0"/>
    <x v="0"/>
    <x v="0"/>
    <x v="0"/>
  </r>
  <r>
    <x v="143"/>
    <x v="17"/>
    <n v="0.26"/>
    <s v="https://www.mcmaster.com/mvC/Contents/gfx/ImageCache/921/92125A210_221c0a3c-e04b-4756-af49-61cbfcaa2c92@4x_637976626971044013.png?ver=ImageNotFound_x000a_"/>
    <x v="9"/>
    <x v="144"/>
    <x v="0"/>
    <x v="1"/>
    <x v="2"/>
    <x v="1"/>
    <x v="110"/>
    <x v="0"/>
    <x v="0"/>
    <x v="0"/>
    <x v="1"/>
    <x v="0"/>
    <x v="0"/>
    <x v="0"/>
  </r>
  <r>
    <x v="144"/>
    <x v="17"/>
    <n v="0.25"/>
    <s v="https://www.mcmaster.com/mvC/Contents/gfx/ImageCache/909/90909A718p1-b01-digitall@2x_636615744701128370.png?ver=ImageNotFound_x000a_"/>
    <x v="9"/>
    <x v="145"/>
    <x v="0"/>
    <x v="1"/>
    <x v="2"/>
    <x v="1"/>
    <x v="111"/>
    <x v="0"/>
    <x v="0"/>
    <x v="0"/>
    <x v="0"/>
    <x v="0"/>
    <x v="0"/>
    <x v="0"/>
  </r>
  <r>
    <x v="145"/>
    <x v="17"/>
    <n v="0.25"/>
    <s v="https://www.mcmaster.com/mvD/Contents/gfx/ImageCache/945/94500A297p1-b01-digitall@2x_636626063486092891.png?ver=ImageNotFound_x000a_"/>
    <x v="9"/>
    <x v="146"/>
    <x v="0"/>
    <x v="1"/>
    <x v="2"/>
    <x v="1"/>
    <x v="111"/>
    <x v="0"/>
    <x v="0"/>
    <x v="0"/>
    <x v="0"/>
    <x v="0"/>
    <x v="0"/>
    <x v="0"/>
  </r>
  <r>
    <x v="146"/>
    <x v="20"/>
    <n v="0.51"/>
    <s v="https://cdn.shapesplastics.com/media/mf_webp/jpg/media/catalog/product/cache/3b0909d7eb5419bc466d38ee9768a4cf/p/e/petg-sheet_1.webp_x000a_https://cdn.shapesplastics.com/media/mf_webp/jpg/media/catalog/product/cache/3b0909d7eb5419bc466d38ee9768a4cf/p/e/petg-sheet_1.webp"/>
    <x v="17"/>
    <x v="147"/>
    <x v="0"/>
    <x v="0"/>
    <x v="2"/>
    <x v="0"/>
    <x v="15"/>
    <x v="0"/>
    <x v="0"/>
    <x v="0"/>
    <x v="0"/>
    <x v="1"/>
    <x v="0"/>
    <x v="0"/>
  </r>
  <r>
    <x v="147"/>
    <x v="20"/>
    <n v="1.8"/>
    <s v="https://sourceone.org/cdn/shop/products/abs-white-main_1024x1024@2x.jpg?v=1624906104_x000a_https://sourceone.org/cdn/shop/products/abs-white-main_1024x1024@2x.jpg?v=1624906104"/>
    <x v="17"/>
    <x v="148"/>
    <x v="0"/>
    <x v="0"/>
    <x v="2"/>
    <x v="0"/>
    <x v="112"/>
    <x v="0"/>
    <x v="0"/>
    <x v="0"/>
    <x v="0"/>
    <x v="1"/>
    <x v="0"/>
    <x v="0"/>
  </r>
  <r>
    <x v="148"/>
    <x v="20"/>
    <n v="0.89"/>
    <s v="https://www.professionalplastics.com/professionalplastics/content/images_inv/c/w/126368/126368-8-large.jpg_x000a_https://www.professionalplastics.com/professionalplastics/content/images_inv/c/w/126368/126368-8-large.jpg"/>
    <x v="17"/>
    <x v="149"/>
    <x v="0"/>
    <x v="0"/>
    <x v="2"/>
    <x v="0"/>
    <x v="113"/>
    <x v="0"/>
    <x v="0"/>
    <x v="0"/>
    <x v="0"/>
    <x v="1"/>
    <x v="0"/>
    <x v="0"/>
  </r>
  <r>
    <x v="149"/>
    <x v="20"/>
    <n v="1.85"/>
    <s v="https://cdn.shapesplastics.com/media/mf_webp/jpg/media/catalog/product/cache/3b0909d7eb5419bc466d38ee9768a4cf/p/e/petg-sheet_1.webp_x000a_https://cdn.shapesplastics.com/media/mf_webp/jpg/media/catalog/product/cache/3b0909d7eb5419bc466d38ee9768a4cf/p/e/petg-sheet_1.webp"/>
    <x v="17"/>
    <x v="150"/>
    <x v="0"/>
    <x v="0"/>
    <x v="2"/>
    <x v="0"/>
    <x v="114"/>
    <x v="5"/>
    <x v="0"/>
    <x v="0"/>
    <x v="0"/>
    <x v="2"/>
    <x v="0"/>
    <x v="0"/>
  </r>
  <r>
    <x v="150"/>
    <x v="20"/>
    <n v="6.52"/>
    <s v="https://cdn.shapesplastics.com/media/mf_webp/jpg/media/catalog/product/cache/3b0909d7eb5419bc466d38ee9768a4cf/p/e/petg-sheet_1.webp_x000a_https://cdn.shapesplastics.com/media/mf_webp/jpg/media/catalog/product/cache/3b0909d7eb5419bc466d38ee9768a4cf/p/e/petg-sheet_1.webp"/>
    <x v="18"/>
    <x v="151"/>
    <x v="0"/>
    <x v="0"/>
    <x v="1"/>
    <x v="0"/>
    <x v="115"/>
    <x v="5"/>
    <x v="0"/>
    <x v="0"/>
    <x v="0"/>
    <x v="2"/>
    <x v="0"/>
    <x v="0"/>
  </r>
  <r>
    <x v="151"/>
    <x v="20"/>
    <n v="13.57"/>
    <s v="https://cdn.shapesplastics.com/media/mf_webp/jpg/media/catalog/product/cache/3b0909d7eb5419bc466d38ee9768a4cf/p/e/petg-sheet_1.webp_x000a_https://cdn.shapesplastics.com/media/mf_webp/jpg/media/catalog/product/cache/3b0909d7eb5419bc466d38ee9768a4cf/p/e/petg-sheet_1.webp"/>
    <x v="19"/>
    <x v="152"/>
    <x v="0"/>
    <x v="0"/>
    <x v="1"/>
    <x v="0"/>
    <x v="116"/>
    <x v="5"/>
    <x v="0"/>
    <x v="0"/>
    <x v="0"/>
    <x v="2"/>
    <x v="0"/>
    <x v="0"/>
  </r>
  <r>
    <x v="146"/>
    <x v="20"/>
    <n v="1.8"/>
    <s v="https://cdn.shapesplastics.com/media/mf_webp/jpg/media/catalog/product/cache/3b0909d7eb5419bc466d38ee9768a4cf/p/e/petg-sheet_1.webp_x000a_https://cdn.shapesplastics.com/media/mf_webp/jpg/media/catalog/product/cache/3b0909d7eb5419bc466d38ee9768a4cf/p/e/petg-sheet_1.webp"/>
    <x v="18"/>
    <x v="153"/>
    <x v="0"/>
    <x v="0"/>
    <x v="2"/>
    <x v="0"/>
    <x v="112"/>
    <x v="5"/>
    <x v="0"/>
    <x v="0"/>
    <x v="0"/>
    <x v="2"/>
    <x v="0"/>
    <x v="0"/>
  </r>
  <r>
    <x v="146"/>
    <x v="20"/>
    <n v="3.38"/>
    <s v="https://cdn.shapesplastics.com/media/mf_webp/jpg/media/catalog/product/cache/3b0909d7eb5419bc466d38ee9768a4cf/p/e/petg-sheet_1.webp_x000a_https://cdn.shapesplastics.com/media/mf_webp/jpg/media/catalog/product/cache/3b0909d7eb5419bc466d38ee9768a4cf/p/e/petg-sheet_1.webp"/>
    <x v="20"/>
    <x v="154"/>
    <x v="0"/>
    <x v="0"/>
    <x v="2"/>
    <x v="0"/>
    <x v="117"/>
    <x v="5"/>
    <x v="0"/>
    <x v="0"/>
    <x v="0"/>
    <x v="2"/>
    <x v="0"/>
    <x v="0"/>
  </r>
  <r>
    <x v="152"/>
    <x v="20"/>
    <n v="3.15"/>
    <s v="https://www.professionalplastics.com/professionalplastics/content/images_inv/c/w/126368/126368-8-large.jpg_x000a_https://www.professionalplastics.com/professionalplastics/content/images_inv/c/w/126368/126368-8-large.jpg"/>
    <x v="18"/>
    <x v="155"/>
    <x v="0"/>
    <x v="0"/>
    <x v="2"/>
    <x v="0"/>
    <x v="118"/>
    <x v="5"/>
    <x v="0"/>
    <x v="0"/>
    <x v="0"/>
    <x v="2"/>
    <x v="0"/>
    <x v="0"/>
  </r>
  <r>
    <x v="153"/>
    <x v="20"/>
    <n v="6.55"/>
    <s v="https://www.professionalplastics.com/professionalplastics/content/images_inv/c/w/126368/126368-8-large.jpg_x000a_https://www.professionalplastics.com/professionalplastics/content/images_inv/c/w/126368/126368-8-large.jpg"/>
    <x v="19"/>
    <x v="156"/>
    <x v="0"/>
    <x v="0"/>
    <x v="2"/>
    <x v="0"/>
    <x v="119"/>
    <x v="5"/>
    <x v="0"/>
    <x v="0"/>
    <x v="0"/>
    <x v="2"/>
    <x v="0"/>
    <x v="0"/>
  </r>
  <r>
    <x v="154"/>
    <x v="20"/>
    <n v="6.3"/>
    <s v="https://sourceone.org/cdn/shop/products/abs-white-main_1024x1024@2x.jpg?v=1624906104_x000a_https://sourceone.org/cdn/shop/products/abs-white-main_1024x1024@2x.jpg?v=1624906104"/>
    <x v="18"/>
    <x v="157"/>
    <x v="0"/>
    <x v="0"/>
    <x v="2"/>
    <x v="0"/>
    <x v="120"/>
    <x v="5"/>
    <x v="0"/>
    <x v="0"/>
    <x v="0"/>
    <x v="2"/>
    <x v="0"/>
    <x v="0"/>
  </r>
  <r>
    <x v="155"/>
    <x v="20"/>
    <n v="13.1"/>
    <s v="https://sourceone.org/cdn/shop/products/abs-white-main_1024x1024@2x.jpg?v=1624906104_x000a_https://sourceone.org/cdn/shop/products/abs-white-main_1024x1024@2x.jpg?v=1624906104"/>
    <x v="19"/>
    <x v="158"/>
    <x v="0"/>
    <x v="0"/>
    <x v="2"/>
    <x v="0"/>
    <x v="121"/>
    <x v="5"/>
    <x v="0"/>
    <x v="0"/>
    <x v="0"/>
    <x v="2"/>
    <x v="0"/>
    <x v="0"/>
  </r>
  <r>
    <x v="156"/>
    <x v="0"/>
    <m/>
    <s v="https://images.homedepot.ca/productimages/p_1000861473.jpg?product-images=l_x000a_"/>
    <x v="16"/>
    <x v="159"/>
    <x v="0"/>
    <x v="1"/>
    <x v="2"/>
    <x v="0"/>
    <x v="34"/>
    <x v="5"/>
    <x v="0"/>
    <x v="0"/>
    <x v="0"/>
    <x v="2"/>
    <x v="0"/>
    <x v="0"/>
  </r>
  <r>
    <x v="157"/>
    <x v="0"/>
    <m/>
    <s v="https://images.homedepot.ca/productimages/p_1000861473.jpg?product-images=l_x000a_"/>
    <x v="1"/>
    <x v="160"/>
    <x v="0"/>
    <x v="1"/>
    <x v="2"/>
    <x v="0"/>
    <x v="34"/>
    <x v="5"/>
    <x v="0"/>
    <x v="0"/>
    <x v="0"/>
    <x v="2"/>
    <x v="0"/>
    <x v="0"/>
  </r>
  <r>
    <x v="158"/>
    <x v="17"/>
    <n v="8.49"/>
    <s v="https://www.mcmaster.com/mvc/contents/gfx/imagecache/470/47065t243c1-i02f-digital@halfx_637057234409622005.png?ver=imagenotfound_x000a_https://www.mcmaster.com/mvd/contents/gfx/imagecache/470/47065t245c1-i02f-digital@halfx_637057358815914203.png?ver=imagenotfound"/>
    <x v="9"/>
    <x v="161"/>
    <x v="4"/>
    <x v="1"/>
    <x v="3"/>
    <x v="1"/>
    <x v="122"/>
    <x v="5"/>
    <x v="0"/>
    <x v="0"/>
    <x v="1"/>
    <x v="2"/>
    <x v="0"/>
    <x v="0"/>
  </r>
  <r>
    <x v="159"/>
    <x v="17"/>
    <n v="0"/>
    <s v="https://images.globalindustrial.com/images/pdp/8IN_4115.webp?t=1688542551452_x000a_https://images.globalindustrial.com/images/pdp/8IN_4115.webp?t=1688542551452"/>
    <x v="9"/>
    <x v="162"/>
    <x v="4"/>
    <x v="1"/>
    <x v="3"/>
    <x v="1"/>
    <x v="34"/>
    <x v="5"/>
    <x v="0"/>
    <x v="0"/>
    <x v="1"/>
    <x v="2"/>
    <x v="0"/>
    <x v="0"/>
  </r>
  <r>
    <x v="160"/>
    <x v="17"/>
    <n v="0"/>
    <s v="https://www.mcmaster.com/mvC/Contents/gfx/ImageCache/470/47065T31_564006eb-2437-4b86-8954-15769846866d@1halfx_5s7qc_1723561752.png?ver=ImageNotFound_x000a_https://www.mcmaster.com/mvD/Contents/gfx/ImageCache/470/47065t32p2-i02f-digital@1x_637057327498015310.png?ver=ImageNotFound"/>
    <x v="9"/>
    <x v="163"/>
    <x v="5"/>
    <x v="1"/>
    <x v="3"/>
    <x v="1"/>
    <x v="34"/>
    <x v="5"/>
    <x v="0"/>
    <x v="0"/>
    <x v="1"/>
    <x v="2"/>
    <x v="0"/>
    <x v="0"/>
  </r>
  <r>
    <x v="161"/>
    <x v="17"/>
    <n v="0"/>
    <s v="https://www.mcmaster.com/mvC/Contents/gfx/ImageCache/470/47065T259p1-h03a-digitall@2x_636583751648400000.png?ver=ImageNotFound_x000a_https://www.mcmaster.com/mvD/Contents/gfx/ImageCache/470/47065T259p1-h03a-digitall@1x_636583751648400000.png?ver=ImageNotFound"/>
    <x v="9"/>
    <x v="164"/>
    <x v="4"/>
    <x v="1"/>
    <x v="3"/>
    <x v="1"/>
    <x v="34"/>
    <x v="5"/>
    <x v="0"/>
    <x v="0"/>
    <x v="1"/>
    <x v="2"/>
    <x v="0"/>
    <x v="0"/>
  </r>
  <r>
    <x v="162"/>
    <x v="17"/>
    <n v="0"/>
    <s v="https://www.mcmaster.com/mvC/Contents/gfx/ImageCache/470/47065T329_be7799c7-e143-4e2b-8139-3882acf3d28e@1halfx_w11lr_1723561767.png?ver=ImageNotFound_x000a_https://www.mcmaster.com/mvD/Contents/gfx/ImageCache/470/47065t366p2-i02f-digital@1x_637057247156018941.png?ver=ImageNotFound"/>
    <x v="9"/>
    <x v="165"/>
    <x v="5"/>
    <x v="1"/>
    <x v="3"/>
    <x v="1"/>
    <x v="34"/>
    <x v="5"/>
    <x v="0"/>
    <x v="0"/>
    <x v="1"/>
    <x v="2"/>
    <x v="0"/>
    <x v="0"/>
  </r>
  <r>
    <x v="163"/>
    <x v="17"/>
    <n v="0"/>
    <s v="https://www.mcmaster.com/mvC/Contents/gfx/ImageCache/470/47065T267p1-h03a-digitall@1halfx_636583751650190000.png?ver=ImageNotFound_x000a_https://www.mcmaster.com/mvD/Contents/gfx/ImageCache/470/47065T267p1-h03a-digitall@1x_636583751650190000.png?ver=ImageNotFound"/>
    <x v="9"/>
    <x v="166"/>
    <x v="5"/>
    <x v="1"/>
    <x v="3"/>
    <x v="1"/>
    <x v="34"/>
    <x v="5"/>
    <x v="0"/>
    <x v="0"/>
    <x v="1"/>
    <x v="2"/>
    <x v="0"/>
    <x v="0"/>
  </r>
  <r>
    <x v="164"/>
    <x v="17"/>
    <n v="0"/>
    <s v="https://www.mcmaster.com/mvC/Contents/gfx/ImageCache/470/47065T191p1-h03a-digitall@1halfx_636583751628390000.png?ver=ImageNotFound_x000a_https://www.mcmaster.com/mvD/Contents/gfx/ImageCache/470/47065T191p1-h03a-digitall@1x_636583751628390000.png?ver=ImageNotFound"/>
    <x v="9"/>
    <x v="167"/>
    <x v="6"/>
    <x v="1"/>
    <x v="3"/>
    <x v="1"/>
    <x v="34"/>
    <x v="5"/>
    <x v="0"/>
    <x v="0"/>
    <x v="1"/>
    <x v="2"/>
    <x v="0"/>
    <x v="0"/>
  </r>
  <r>
    <x v="165"/>
    <x v="17"/>
    <n v="0"/>
    <s v="https://www.mcmaster.com/mvC/Contents/gfx/ImageCache/470/47065t147_8a8647fd-ec4f-4906-a60e-6a8f9df11dbc@2x_637928760840298000.png?ver=ImageNotFound_x000a_https://www.mcmaster.com/mvD/Contents/gfx/ImageCache/470/47065t147_8a8647fd-ec4f-4906-a60e-6a8f9df11dbc@2x_637928760840298000.png?ver=ImageNotFound"/>
    <x v="9"/>
    <x v="168"/>
    <x v="5"/>
    <x v="1"/>
    <x v="3"/>
    <x v="1"/>
    <x v="34"/>
    <x v="5"/>
    <x v="0"/>
    <x v="0"/>
    <x v="1"/>
    <x v="2"/>
    <x v="0"/>
    <x v="0"/>
  </r>
  <r>
    <x v="166"/>
    <x v="17"/>
    <n v="0"/>
    <s v="https://www.mcmaster.com/mvC/Contents/gfx/ImageCache/470/47065T991_4b1991ad-c22c-411d-be62-8ec91dfc3348@2x_638023046342571477.png?ver=ImageNotFound_x000a_https://www.mcmaster.com/mvD/Contents/gfx/ImageCache/470/47065T991_4b1991ad-c22c-411d-be62-8ec91dfc3348@4x_638023046342571477.png?ver=ImageNotFound"/>
    <x v="9"/>
    <x v="169"/>
    <x v="5"/>
    <x v="1"/>
    <x v="3"/>
    <x v="1"/>
    <x v="34"/>
    <x v="5"/>
    <x v="0"/>
    <x v="0"/>
    <x v="1"/>
    <x v="2"/>
    <x v="0"/>
    <x v="0"/>
  </r>
  <r>
    <x v="167"/>
    <x v="17"/>
    <m/>
    <s v="https://www.mcmaster.com/mvC/Contents/gfx/ImageCache/470/47065t142_6e2480a8-9505-4bb7-9e6a-8e706a381b39@2x_637928762223308861.png?ver=ImageNotFound_x000a_https://www.mcmaster.com/mvD/Contents/gfx/ImageCache/470/47065t142_6e2480a8-9505-4bb7-9e6a-8e706a381b39@2x_637928762223308861.png?ver=ImageNotFound"/>
    <x v="9"/>
    <x v="170"/>
    <x v="4"/>
    <x v="1"/>
    <x v="3"/>
    <x v="1"/>
    <x v="34"/>
    <x v="5"/>
    <x v="0"/>
    <x v="0"/>
    <x v="1"/>
    <x v="2"/>
    <x v="0"/>
    <x v="0"/>
  </r>
  <r>
    <x v="168"/>
    <x v="17"/>
    <m/>
    <s v="https://www.mcmaster.com/mvC/Contents/gfx/ImageCache/470/47065T194p1-h03a-digitall@1halfx_636583751629520000.png?ver=ImageNotFound_x000a_https://www.mcmaster.com/mvD/Contents/gfx/ImageCache/470/47065T194p1-h03a-digitall@1x_636583751629520000.png?ver=ImageNotFound"/>
    <x v="9"/>
    <x v="171"/>
    <x v="6"/>
    <x v="1"/>
    <x v="3"/>
    <x v="1"/>
    <x v="34"/>
    <x v="5"/>
    <x v="0"/>
    <x v="0"/>
    <x v="1"/>
    <x v="2"/>
    <x v="0"/>
    <x v="0"/>
  </r>
  <r>
    <x v="169"/>
    <x v="17"/>
    <m/>
    <s v="https://www.mcmaster.com/mvC/Contents/gfx/ImageCache/470/47065T278p1-h03a-digitall@1halfx_636583751652070000.png?ver=ImageNotFound_x000a_https://www.mcmaster.com/mvD/Contents/gfx/ImageCache/470/47065T278p1-h03a-digitall@1x_636583751652070000.png?ver=ImageNotFound"/>
    <x v="9"/>
    <x v="172"/>
    <x v="5"/>
    <x v="1"/>
    <x v="3"/>
    <x v="1"/>
    <x v="34"/>
    <x v="5"/>
    <x v="0"/>
    <x v="0"/>
    <x v="1"/>
    <x v="2"/>
    <x v="0"/>
    <x v="0"/>
  </r>
  <r>
    <x v="170"/>
    <x v="17"/>
    <m/>
    <s v="https://www.mcmaster.com/mvD/Contents/gfx/ImageCache/553/5537T294p1-h03a-digitall@2x_636601981081522301.png?ver=ImageNotFound_x000a_https://www.mcmaster.com/mvD/Contents/gfx/ImageCache/553/5537T294p1-h03a-digitall@2x_636601981081522301.png?ver=ImageNotFound"/>
    <x v="9"/>
    <x v="173"/>
    <x v="5"/>
    <x v="1"/>
    <x v="3"/>
    <x v="1"/>
    <x v="34"/>
    <x v="5"/>
    <x v="0"/>
    <x v="0"/>
    <x v="1"/>
    <x v="2"/>
    <x v="0"/>
    <x v="0"/>
  </r>
  <r>
    <x v="171"/>
    <x v="17"/>
    <m/>
    <s v="https://www.mcmaster.com/mvC/Contents/gfx/ImageCache/470/47065T255p1-h03a-digitall@3x_636583751647080000.png?ver=ImageNotFound_x000a_"/>
    <x v="9"/>
    <x v="174"/>
    <x v="4"/>
    <x v="1"/>
    <x v="3"/>
    <x v="1"/>
    <x v="34"/>
    <x v="5"/>
    <x v="0"/>
    <x v="0"/>
    <x v="1"/>
    <x v="2"/>
    <x v="0"/>
    <x v="0"/>
  </r>
  <r>
    <x v="172"/>
    <x v="17"/>
    <m/>
    <s v="https://www.mcmaster.com/mvC/Contents/gfx/ImageCache/553/5537T315p1-h03a-digitall@2x_636601960532519075.png?ver=ImageNotFound_x000a_https://www.mcmaster.com/mvD/Contents/gfx/ImageCache/553/5537T315p1-h03a-digitall@2x_636601960532519075.png?ver=ImageNotFound"/>
    <x v="9"/>
    <x v="175"/>
    <x v="5"/>
    <x v="1"/>
    <x v="3"/>
    <x v="1"/>
    <x v="34"/>
    <x v="5"/>
    <x v="0"/>
    <x v="0"/>
    <x v="1"/>
    <x v="2"/>
    <x v="0"/>
    <x v="0"/>
  </r>
  <r>
    <x v="173"/>
    <x v="17"/>
    <m/>
    <s v="https://www.mcmaster.com/mvC/Contents/gfx/ImageCache/470/47065T204p1-h03a-digitall@2x_636583751632340000.png?ver=ImageNotFound_x000a_https://www.mcmaster.com/mvD/Contents/gfx/ImageCache/470/47065T204p1-h03a-digitall@1x_636583751632340000.png?ver=ImageNotFound"/>
    <x v="9"/>
    <x v="176"/>
    <x v="7"/>
    <x v="1"/>
    <x v="3"/>
    <x v="1"/>
    <x v="34"/>
    <x v="5"/>
    <x v="0"/>
    <x v="0"/>
    <x v="1"/>
    <x v="2"/>
    <x v="0"/>
    <x v="0"/>
  </r>
  <r>
    <x v="174"/>
    <x v="17"/>
    <m/>
    <s v="https://m.media-amazon.com/images/I/71cTvtqFXjS._AC_UF1000,,1000_QL80_.jpg_x000a_https://shop.forcesinc.ca/cdn/shop/files/14-20-drop-in-t-nut-w-spring-ball-or-15-series-t-slot-aluminum-forces-inc.jpg?v=1704765484"/>
    <x v="9"/>
    <x v="177"/>
    <x v="8"/>
    <x v="1"/>
    <x v="3"/>
    <x v="1"/>
    <x v="34"/>
    <x v="5"/>
    <x v="0"/>
    <x v="0"/>
    <x v="1"/>
    <x v="2"/>
    <x v="0"/>
    <x v="0"/>
  </r>
  <r>
    <x v="175"/>
    <x v="17"/>
    <m/>
    <s v="https://www.mcmaster.com/mvD/Contents/gfx/ImageCache/470/47065t309p2-i02f-digital@1x_637057416755086893.png?ver=ImageNotFound_x000a_https://www.mcmaster.com/mvD/Contents/gfx/ImageCache/470/47065t309p2-i02f-digital@1x_637057416755086893.png?ver=ImageNotFound"/>
    <x v="9"/>
    <x v="178"/>
    <x v="5"/>
    <x v="1"/>
    <x v="3"/>
    <x v="1"/>
    <x v="34"/>
    <x v="5"/>
    <x v="0"/>
    <x v="0"/>
    <x v="1"/>
    <x v="2"/>
    <x v="0"/>
    <x v="0"/>
  </r>
  <r>
    <x v="176"/>
    <x v="17"/>
    <m/>
    <s v="https://www.mcmaster.com/mvD/Contents/gfx/ImageCache/470/47065T221_265291f8-7fcf-468f-a6c9-cbe5be0c1100@2x_1697648188.png?ver=ImageNotFound_x000a_https://www.mcmaster.com/mvD/Contents/gfx/ImageCache/470/47065T221_265291f8-7fcf-468f-a6c9-cbe5be0c1100@2x_1697648188.png?ver=ImageNotFound"/>
    <x v="9"/>
    <x v="179"/>
    <x v="6"/>
    <x v="1"/>
    <x v="3"/>
    <x v="1"/>
    <x v="34"/>
    <x v="5"/>
    <x v="0"/>
    <x v="0"/>
    <x v="1"/>
    <x v="2"/>
    <x v="0"/>
    <x v="0"/>
  </r>
  <r>
    <x v="177"/>
    <x v="17"/>
    <m/>
    <s v="https://www.mcmaster.com/mvC/Contents/gfx/ImageCache/470/47065T236p1-h03a-digitall@2x_636583751641260000.png?ver=ImageNotFound_x000a_https://www.mcmaster.com/mvD/Contents/gfx/ImageCache/470/47065T236p1-h03a-digitall@2x_636583751641260000.png?ver=ImageNotFound"/>
    <x v="9"/>
    <x v="180"/>
    <x v="4"/>
    <x v="1"/>
    <x v="3"/>
    <x v="1"/>
    <x v="34"/>
    <x v="5"/>
    <x v="0"/>
    <x v="0"/>
    <x v="1"/>
    <x v="2"/>
    <x v="0"/>
    <x v="0"/>
  </r>
  <r>
    <x v="170"/>
    <x v="17"/>
    <m/>
    <s v="https://www.mcmaster.com/mvD/Contents/gfx/ImageCache/553/5537T294p1-h03a-digitall@2x_636601981081522301.png?ver=ImageNotFound_x000a_https://www.mcmaster.com/mvD/Contents/gfx/ImageCache/553/5537T294p1-h03a-digitall@2x_636601981081522301.png?ver=ImageNotFound"/>
    <x v="9"/>
    <x v="181"/>
    <x v="5"/>
    <x v="1"/>
    <x v="3"/>
    <x v="1"/>
    <x v="34"/>
    <x v="5"/>
    <x v="0"/>
    <x v="0"/>
    <x v="1"/>
    <x v="2"/>
    <x v="0"/>
    <x v="0"/>
  </r>
  <r>
    <x v="178"/>
    <x v="17"/>
    <n v="12.26"/>
    <s v="https://www.mcmaster.com/mvC/Contents/gfx/ImageCache/470/47065t245c1-i02f-digital@1x_637057358815914203.png?ver=ImageNotFound_x000a_"/>
    <x v="9"/>
    <x v="182"/>
    <x v="4"/>
    <x v="1"/>
    <x v="3"/>
    <x v="1"/>
    <x v="123"/>
    <x v="5"/>
    <x v="0"/>
    <x v="0"/>
    <x v="1"/>
    <x v="2"/>
    <x v="0"/>
    <x v="0"/>
  </r>
  <r>
    <x v="179"/>
    <x v="21"/>
    <n v="0.11"/>
    <m/>
    <x v="2"/>
    <x v="183"/>
    <x v="9"/>
    <x v="1"/>
    <x v="0"/>
    <x v="0"/>
    <x v="52"/>
    <x v="5"/>
    <x v="3"/>
    <x v="0"/>
    <x v="0"/>
    <x v="2"/>
    <x v="0"/>
    <x v="0"/>
  </r>
  <r>
    <x v="180"/>
    <x v="17"/>
    <n v="6.79"/>
    <s v="https://8020.net/media/catalog/product/cache/fe910da4d24129452d336d01ccf84c7f/2/5/25-4108_photo_1.png_x000a_https://8020.net/media/catalog/product/cache/fe910da4d24129452d336d01ccf84c7f/2/5/25-4108_photo_1.png"/>
    <x v="9"/>
    <x v="184"/>
    <x v="1"/>
    <x v="1"/>
    <x v="2"/>
    <x v="1"/>
    <x v="124"/>
    <x v="5"/>
    <x v="0"/>
    <x v="0"/>
    <x v="1"/>
    <x v="2"/>
    <x v="0"/>
    <x v="0"/>
  </r>
  <r>
    <x v="181"/>
    <x v="17"/>
    <n v="15.67"/>
    <s v="https://8020.net/media/catalog/product/cache/fe910da4d24129452d336d01ccf84c7f/2/5/25-4081_photo_1.png_x000a_https://8020.net/media/catalog/product/cache/fe910da4d24129452d336d01ccf84c7f/2/5/25-4081_photo_1.png"/>
    <x v="9"/>
    <x v="185"/>
    <x v="10"/>
    <x v="1"/>
    <x v="0"/>
    <x v="1"/>
    <x v="125"/>
    <x v="5"/>
    <x v="0"/>
    <x v="0"/>
    <x v="1"/>
    <x v="2"/>
    <x v="0"/>
    <x v="0"/>
  </r>
  <r>
    <x v="182"/>
    <x v="17"/>
    <n v="11.58"/>
    <s v="https://8020.net/media/catalog/product/cache/fe910da4d24129452d336d01ccf84c7f/2/5/25-4117_photo_1.png_x000a_https://8020.net/media/catalog/product/cache/fe910da4d24129452d336d01ccf84c7f/2/5/25-4117_photo_1.png"/>
    <x v="9"/>
    <x v="186"/>
    <x v="10"/>
    <x v="1"/>
    <x v="0"/>
    <x v="1"/>
    <x v="126"/>
    <x v="5"/>
    <x v="0"/>
    <x v="0"/>
    <x v="1"/>
    <x v="2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x v="0"/>
    <x v="0"/>
    <x v="0"/>
    <x v="0"/>
    <s v="https://images-na.ssl-images-amazon.com/images/I/61yjnXSieiL._SL1440_.jpg_x000a_https://images-na.ssl-images-amazon.com/images/I/61yjnXSieiL._SL1440_.jpg"/>
    <x v="0"/>
    <x v="0"/>
    <s v="In StockBearing Balls 1/8&quot;: 1/8&quot; - Chrome Steel, $0.05"/>
    <x v="0"/>
    <s v="Bearing Balls 1/8&quot; 1/8&quot; - Chrome Steel"/>
    <x v="0"/>
    <x v="0"/>
    <x v="0"/>
    <x v="0"/>
    <x v="0"/>
    <n v="1"/>
    <d v="2019-11-22T09:45:27"/>
    <x v="0"/>
    <x v="0"/>
  </r>
  <r>
    <x v="1"/>
    <x v="0"/>
    <x v="0"/>
    <x v="1"/>
    <s v="https://images-na.ssl-images-amazon.com/images/I/61yjnXSieiL._SL1440_.jpg_x000a_https://images-na.ssl-images-amazon.com/images/I/61yjnXSieiL._SL1440_.jpg"/>
    <x v="0"/>
    <x v="0"/>
    <s v="In StockBearing Balls 3/16&quot;: 3/16&quot; - Chrome Steel, $0.05"/>
    <x v="0"/>
    <s v="Bearing Balls 3/16&quot; 3/16&quot; - Chrome Steel"/>
    <x v="1"/>
    <x v="0"/>
    <x v="0"/>
    <x v="0"/>
    <x v="0"/>
    <n v="2"/>
    <d v="2019-11-22T09:45:36"/>
    <x v="0"/>
    <x v="0"/>
  </r>
  <r>
    <x v="2"/>
    <x v="0"/>
    <x v="0"/>
    <x v="2"/>
    <s v="https://images-na.ssl-images-amazon.com/images/I/61yjnXSieiL._SL1440_.jpg_x000a_https://images-na.ssl-images-amazon.com/images/I/61yjnXSieiL._SL1440_.jpg"/>
    <x v="0"/>
    <x v="0"/>
    <s v="In StockBearing Balls 5/32&quot;: 5/32&quot; - Chrome Steel, $0.05"/>
    <x v="0"/>
    <s v="Bearing Balls 5/32&quot; 5/32&quot; - Chrome Steel"/>
    <x v="2"/>
    <x v="0"/>
    <x v="0"/>
    <x v="0"/>
    <x v="0"/>
    <n v="3"/>
    <d v="2019-11-22T09:45:38"/>
    <x v="0"/>
    <x v="0"/>
  </r>
  <r>
    <x v="3"/>
    <x v="0"/>
    <x v="0"/>
    <x v="3"/>
    <s v="https://images-na.ssl-images-amazon.com/images/I/61yjnXSieiL._SL1440_.jpg_x000a_https://images-na.ssl-images-amazon.com/images/I/61yjnXSieiL._SL1440_.jpg"/>
    <x v="0"/>
    <x v="0"/>
    <s v="In StockBearing Balls 7/32&quot;: 7/32&quot; - Chrome Steel, $0.05"/>
    <x v="0"/>
    <s v="Bearing Balls 7/32&quot; 7/32&quot; - Chrome Steel"/>
    <x v="3"/>
    <x v="0"/>
    <x v="0"/>
    <x v="0"/>
    <x v="0"/>
    <n v="4"/>
    <d v="2019-11-22T09:45:38"/>
    <x v="0"/>
    <x v="0"/>
  </r>
  <r>
    <x v="4"/>
    <x v="0"/>
    <x v="0"/>
    <x v="4"/>
    <s v="https://images-na.ssl-images-amazon.com/images/I/61yjnXSieiL._SL1440_.jpg_x000a_https://images-na.ssl-images-amazon.com/images/I/61yjnXSieiL._SL1440_.jpg"/>
    <x v="0"/>
    <x v="0"/>
    <s v="In StockBearing Balls 1/4&quot;: 1/4&quot; - Chrome Steel, $0.05"/>
    <x v="0"/>
    <s v="Bearing Balls 1/4&quot; 1/4&quot; - Chrome Steel"/>
    <x v="4"/>
    <x v="0"/>
    <x v="0"/>
    <x v="0"/>
    <x v="0"/>
    <n v="5"/>
    <d v="2019-11-22T09:46:22"/>
    <x v="0"/>
    <x v="0"/>
  </r>
  <r>
    <x v="5"/>
    <x v="1"/>
    <x v="1"/>
    <x v="5"/>
    <s v="https://images-na.ssl-images-amazon.com/images/I/61X8ya2vV1L._SL1001_.jpg_x000a_https://images-na.ssl-images-amazon.com/images/I/61X8ya2vV1L._SL1001_.jpg"/>
    <x v="0"/>
    <x v="0"/>
    <s v="In StockMini Ball Bearings: 5 mm x 11 mm x 4 mm, $1.2"/>
    <x v="0"/>
    <s v="Mini Ball Bearings 5 mm x 11 mm x 4 mm"/>
    <x v="5"/>
    <x v="0"/>
    <x v="0"/>
    <x v="0"/>
    <x v="1"/>
    <n v="6"/>
    <d v="2019-11-22T09:47:20"/>
    <x v="0"/>
    <x v="0"/>
  </r>
  <r>
    <x v="6"/>
    <x v="2"/>
    <x v="2"/>
    <x v="6"/>
    <m/>
    <x v="1"/>
    <x v="0"/>
    <s v="In StockThreaded rod 1/4 20: 1/4-20 Threaded rod 1 foot, $2.67"/>
    <x v="0"/>
    <s v="Threaded rod 1/4 20 1/4-20 Threaded rod 1 foot"/>
    <x v="6"/>
    <x v="0"/>
    <x v="1"/>
    <x v="1"/>
    <x v="0"/>
    <n v="7"/>
    <d v="2020-01-09T17:25:39"/>
    <x v="0"/>
    <x v="0"/>
  </r>
  <r>
    <x v="7"/>
    <x v="3"/>
    <x v="2"/>
    <x v="7"/>
    <m/>
    <x v="2"/>
    <x v="1"/>
    <s v="'Out of Stock'ESC204 Workshop Rover W/Consumables: , $99.2"/>
    <x v="0"/>
    <s v="ESC204 Workshop Rover W/Consumables "/>
    <x v="7"/>
    <x v="0"/>
    <x v="0"/>
    <x v="2"/>
    <x v="1"/>
    <n v="8"/>
    <d v="2020-02-03T13:32:57"/>
    <x v="0"/>
    <x v="0"/>
  </r>
  <r>
    <x v="8"/>
    <x v="4"/>
    <x v="2"/>
    <x v="7"/>
    <m/>
    <x v="2"/>
    <x v="1"/>
    <s v="'Out of Stock'ESC204 Workshop Consumables Only: , $13.79"/>
    <x v="0"/>
    <s v="ESC204 Workshop Consumables Only "/>
    <x v="8"/>
    <x v="0"/>
    <x v="0"/>
    <x v="2"/>
    <x v="1"/>
    <n v="9"/>
    <d v="2020-02-03T13:33:22"/>
    <x v="0"/>
    <x v="0"/>
  </r>
  <r>
    <x v="9"/>
    <x v="5"/>
    <x v="2"/>
    <x v="8"/>
    <m/>
    <x v="2"/>
    <x v="1"/>
    <s v="'Out of Stock'MSE398 tensile tester Kit: 2020-2021, $100"/>
    <x v="0"/>
    <s v="MSE398 tensile tester Kit 2020-2021"/>
    <x v="9"/>
    <x v="0"/>
    <x v="0"/>
    <x v="2"/>
    <x v="1"/>
    <n v="11"/>
    <d v="2020-12-14T12:23:20"/>
    <x v="0"/>
    <x v="0"/>
  </r>
  <r>
    <x v="10"/>
    <x v="6"/>
    <x v="3"/>
    <x v="9"/>
    <s v="https://media.digikey.com/Photos/APM%20Hexseal%20Photos/RM3X6MM-2701.jpg_x000a_https://media.digikey.com/Photos/APM%20Hexseal%20Photos/RM3X6MM-2701.jpg"/>
    <x v="3"/>
    <x v="2"/>
    <s v="'In Stock'M3 pitch 0.50- 5mm: 5mm, $0.09"/>
    <x v="0"/>
    <s v="M3 pitch 0.50- 5mm 5mm"/>
    <x v="10"/>
    <x v="0"/>
    <x v="0"/>
    <x v="3"/>
    <x v="2"/>
    <n v="12"/>
    <d v="2021-10-22T21:46:23"/>
    <x v="0"/>
    <x v="0"/>
  </r>
  <r>
    <x v="11"/>
    <x v="7"/>
    <x v="4"/>
    <x v="10"/>
    <s v="https://media.digikey.com/Photos/APM%20Hexseal%20Photos/RM3X6MM-2701.jpg_x000a_https://media.digikey.com/Photos/APM%20Hexseal%20Photos/RM3X6MM-2701.jpg"/>
    <x v="4"/>
    <x v="3"/>
    <s v="Out of StockM3 pitch 0.50- 6mm: 6 mm, $0.12"/>
    <x v="0"/>
    <s v="M3 pitch 0.50- 6mm 6 mm"/>
    <x v="11"/>
    <x v="0"/>
    <x v="0"/>
    <x v="3"/>
    <x v="1"/>
    <n v="13"/>
    <d v="2021-10-22T21:48:35"/>
    <x v="0"/>
    <x v="0"/>
  </r>
  <r>
    <x v="12"/>
    <x v="8"/>
    <x v="5"/>
    <x v="11"/>
    <s v="https://media.digikey.com/Photos/APM%20Hexseal%20Photos/RM3X6MM-2701.jpg_x000a_https://media.digikey.com/Photos/APM%20Hexseal%20Photos/RM3X6MM-2701.jpg"/>
    <x v="3"/>
    <x v="4"/>
    <s v="3M3 pitch 0.50- 8mm: 8 mm, $0.11"/>
    <x v="0"/>
    <s v="M3 pitch 0.50- 8mm 8 mm"/>
    <x v="12"/>
    <x v="1"/>
    <x v="0"/>
    <x v="3"/>
    <x v="2"/>
    <n v="14"/>
    <d v="2021-10-22T21:50:06"/>
    <x v="0"/>
    <x v="0"/>
  </r>
  <r>
    <x v="13"/>
    <x v="7"/>
    <x v="5"/>
    <x v="12"/>
    <s v="https://media.digikey.com/Photos/APM%20Hexseal%20Photos/RM3X6MM-2701.jpg_x000a_https://media.digikey.com/Photos/APM%20Hexseal%20Photos/RM3X6MM-2701.jpg"/>
    <x v="3"/>
    <x v="4"/>
    <s v="3M3 pitch 0.50- 10mm: 10 mm, $0.12"/>
    <x v="0"/>
    <s v="M3 pitch 0.50- 10mm 10 mm"/>
    <x v="13"/>
    <x v="0"/>
    <x v="0"/>
    <x v="3"/>
    <x v="0"/>
    <n v="15"/>
    <d v="2021-10-22T21:51:23"/>
    <x v="0"/>
    <x v="0"/>
  </r>
  <r>
    <x v="14"/>
    <x v="9"/>
    <x v="6"/>
    <x v="13"/>
    <s v="https://media.digikey.com/Photos/APM%20Hexseal%20Photos/RM3X6MM-2701.jpg_x000a_https://media.digikey.com/Photos/APM%20Hexseal%20Photos/RM3X6MM-2701.jpg"/>
    <x v="3"/>
    <x v="2"/>
    <s v="'In Stock'M3 pitch 0.50- 12mm: 12 mm, $0.07"/>
    <x v="0"/>
    <s v="M3 pitch 0.50- 12mm 12 mm"/>
    <x v="14"/>
    <x v="2"/>
    <x v="0"/>
    <x v="3"/>
    <x v="0"/>
    <n v="16"/>
    <d v="2021-10-22T21:55:43"/>
    <x v="0"/>
    <x v="0"/>
  </r>
  <r>
    <x v="15"/>
    <x v="10"/>
    <x v="5"/>
    <x v="14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3"/>
    <x v="4"/>
    <s v="3M3 pitch 0.50- 20mm: 20 mm, $0.15"/>
    <x v="0"/>
    <s v="M3 pitch 0.50- 20mm 20 mm"/>
    <x v="15"/>
    <x v="0"/>
    <x v="0"/>
    <x v="3"/>
    <x v="0"/>
    <n v="17"/>
    <d v="2021-10-25T15:09:20"/>
    <x v="0"/>
    <x v="0"/>
  </r>
  <r>
    <x v="16"/>
    <x v="7"/>
    <x v="3"/>
    <x v="15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3"/>
    <x v="2"/>
    <s v="'In Stock'M3 pitch 0.50- 25mm: 25 mm, $0.12"/>
    <x v="0"/>
    <s v="M3 pitch 0.50- 25mm 25 mm"/>
    <x v="16"/>
    <x v="0"/>
    <x v="0"/>
    <x v="3"/>
    <x v="0"/>
    <n v="18"/>
    <d v="2021-10-25T15:10:38"/>
    <x v="0"/>
    <x v="0"/>
  </r>
  <r>
    <x v="17"/>
    <x v="11"/>
    <x v="3"/>
    <x v="16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5"/>
    <x v="2"/>
    <s v="'In Stock'M3 pitch 0.50- 35mm: 35 mm, $0.14"/>
    <x v="0"/>
    <s v="M3 pitch 0.50- 35mm 35 mm"/>
    <x v="17"/>
    <x v="0"/>
    <x v="0"/>
    <x v="3"/>
    <x v="0"/>
    <n v="19"/>
    <d v="2021-10-25T15:11:40"/>
    <x v="0"/>
    <x v="0"/>
  </r>
  <r>
    <x v="18"/>
    <x v="12"/>
    <x v="3"/>
    <x v="17"/>
    <s v="https://m.media-amazon.com/images/I/71bhu5s7T2L._SL1500_.jpg_x000a_https://m.media-amazon.com/images/I/71bhu5s7T2L._SL1500_.jpg"/>
    <x v="5"/>
    <x v="2"/>
    <s v="'In Stock'M3 pitch 0.50- 40mm: 40 mm, $0.25"/>
    <x v="0"/>
    <s v="M3 pitch 0.50- 40mm 40 mm"/>
    <x v="18"/>
    <x v="0"/>
    <x v="0"/>
    <x v="3"/>
    <x v="0"/>
    <n v="20"/>
    <d v="2021-10-25T15:13:18"/>
    <x v="0"/>
    <x v="0"/>
  </r>
  <r>
    <x v="19"/>
    <x v="13"/>
    <x v="3"/>
    <x v="16"/>
    <s v="https://m.media-amazon.com/images/I/71bhu5s7T2L._SL1500_.jpg_x000a_https://m.media-amazon.com/images/I/71bhu5s7T2L._SL1500_.jpg"/>
    <x v="0"/>
    <x v="3"/>
    <s v="Out of StockM4 pitch 0.70- 35mm: 35 mm, $0.31"/>
    <x v="0"/>
    <s v="M4 pitch 0.70- 35mm 35 mm"/>
    <x v="19"/>
    <x v="0"/>
    <x v="0"/>
    <x v="3"/>
    <x v="1"/>
    <n v="21"/>
    <d v="2021-10-25T15:15:30"/>
    <x v="0"/>
    <x v="0"/>
  </r>
  <r>
    <x v="20"/>
    <x v="14"/>
    <x v="3"/>
    <x v="16"/>
    <s v="https://m.media-amazon.com/images/I/71bhu5s7T2L._SL1500_.jpg_x000a_https://m.media-amazon.com/images/I/71bhu5s7T2L._SL1500_.jpg"/>
    <x v="0"/>
    <x v="3"/>
    <s v="Out of StockM5 pitch 0.80- 35mm: 35 mm, $0.35"/>
    <x v="0"/>
    <s v="M5 pitch 0.80- 35mm 35 mm"/>
    <x v="20"/>
    <x v="0"/>
    <x v="0"/>
    <x v="3"/>
    <x v="1"/>
    <n v="22"/>
    <d v="2021-10-25T15:17:13"/>
    <x v="0"/>
    <x v="0"/>
  </r>
  <r>
    <x v="21"/>
    <x v="15"/>
    <x v="3"/>
    <x v="7"/>
    <s v="https://www.pcboard.ca/image/cache/catalog/products/fasteners/Stainless-Steel-Hex-Nut-800x800.jpg_x000a_https://www.pcboard.ca/image/cache/catalog/products/fasteners/Stainless-Steel-Hex-Nut-800x800.jpg"/>
    <x v="6"/>
    <x v="2"/>
    <s v="'In Stock'Hex nut M3 pitch 0.5: , $0.08"/>
    <x v="0"/>
    <s v="Hex nut M3 pitch 0.5 "/>
    <x v="21"/>
    <x v="0"/>
    <x v="2"/>
    <x v="4"/>
    <x v="0"/>
    <n v="23"/>
    <d v="2021-10-25T15:19:47"/>
    <x v="0"/>
    <x v="0"/>
  </r>
  <r>
    <x v="22"/>
    <x v="16"/>
    <x v="7"/>
    <x v="7"/>
    <s v="https://www.pcboard.ca/image/cache/catalog/products/fasteners/Stainless-Steel-Hex-Nut-800x800.jpg_x000a_https://www.pcboard.ca/image/cache/catalog/products/fasteners/Stainless-Steel-Hex-Nut-800x800.jpg"/>
    <x v="0"/>
    <x v="2"/>
    <s v="'In Stock'Hex nut M5 pitch 0.80: , $0.06"/>
    <x v="0"/>
    <s v="Hex nut M5 pitch 0.80 "/>
    <x v="22"/>
    <x v="3"/>
    <x v="0"/>
    <x v="4"/>
    <x v="0"/>
    <n v="24"/>
    <d v="2021-10-25T15:20:48"/>
    <x v="0"/>
    <x v="0"/>
  </r>
  <r>
    <x v="23"/>
    <x v="17"/>
    <x v="7"/>
    <x v="7"/>
    <s v="https://www.pcboard.ca/image/cache/catalog/products/fasteners/Stainless-Steel-Hex-Nut-800x800.jpg_x000a_https://www.pcboard.ca/image/cache/catalog/products/fasteners/Stainless-Steel-Hex-Nut-800x800.jpg"/>
    <x v="0"/>
    <x v="2"/>
    <s v="'In Stock'Hex nut M4 pitch 0.70: , $0.1"/>
    <x v="0"/>
    <s v="Hex nut M4 pitch 0.70 "/>
    <x v="23"/>
    <x v="3"/>
    <x v="0"/>
    <x v="4"/>
    <x v="0"/>
    <n v="25"/>
    <d v="2021-10-25T15:21:49"/>
    <x v="0"/>
    <x v="0"/>
  </r>
  <r>
    <x v="24"/>
    <x v="17"/>
    <x v="8"/>
    <x v="18"/>
    <s v="https://www.sherline.com/wp-content/uploads/2018/02/43190.png_x000a_https://www.sherline.com/wp-content/uploads/2018/02/43190.png"/>
    <x v="2"/>
    <x v="1"/>
    <s v="'Out of Stock'#6 x 1/2&quot; Flat Head: 1/2&quot;, $0.1"/>
    <x v="0"/>
    <s v="#6 x 1/2&quot; Flat Head 1/2&quot;"/>
    <x v="24"/>
    <x v="3"/>
    <x v="3"/>
    <x v="5"/>
    <x v="1"/>
    <n v="27"/>
    <d v="2021-11-04T18:21:04"/>
    <x v="0"/>
    <x v="0"/>
  </r>
  <r>
    <x v="25"/>
    <x v="9"/>
    <x v="2"/>
    <x v="19"/>
    <s v="https://www.sherline.com/wp-content/uploads/2018/02/43190.png_x000a_https://www.sherline.com/wp-content/uploads/2018/02/43190.png"/>
    <x v="2"/>
    <x v="1"/>
    <s v="'Out of Stock'#6 x 1/2&quot; Round Head : WS-120, $0.07"/>
    <x v="0"/>
    <s v="#6 x 1/2&quot; Round Head  WS-120"/>
    <x v="25"/>
    <x v="0"/>
    <x v="3"/>
    <x v="5"/>
    <x v="0"/>
    <n v="28"/>
    <d v="2021-11-04T18:29:01"/>
    <x v="0"/>
    <x v="0"/>
  </r>
  <r>
    <x v="26"/>
    <x v="10"/>
    <x v="8"/>
    <x v="20"/>
    <s v="https://www.sherline.com/wp-content/uploads/2018/02/43190.png_x000a_https://www.sherline.com/wp-content/uploads/2018/02/43190.png"/>
    <x v="3"/>
    <x v="3"/>
    <s v="Out of Stock#6 x 1&quot; Flat Head: 593-K02-1Y, $0.15"/>
    <x v="0"/>
    <s v="#6 x 1&quot; Flat Head 593-K02-1Y"/>
    <x v="26"/>
    <x v="2"/>
    <x v="3"/>
    <x v="5"/>
    <x v="0"/>
    <n v="29"/>
    <d v="2021-11-04T18:31:49"/>
    <x v="0"/>
    <x v="0"/>
  </r>
  <r>
    <x v="27"/>
    <x v="18"/>
    <x v="8"/>
    <x v="21"/>
    <s v="https://www.sherline.com/wp-content/uploads/2018/02/43190.png_x000a_https://www.sherline.com/wp-content/uploads/2018/02/43190.png"/>
    <x v="3"/>
    <x v="3"/>
    <s v="Out of Stock#6 x 1 1/2&quot; Flat Head: 593-005, $0.23"/>
    <x v="0"/>
    <s v="#6 x 1 1/2&quot; Flat Head 593-005"/>
    <x v="27"/>
    <x v="3"/>
    <x v="3"/>
    <x v="5"/>
    <x v="0"/>
    <n v="30"/>
    <d v="2021-11-04T18:34:49"/>
    <x v="0"/>
    <x v="0"/>
  </r>
  <r>
    <x v="28"/>
    <x v="15"/>
    <x v="2"/>
    <x v="22"/>
    <s v="https://www.sherline.com/wp-content/uploads/2018/02/43190.png_x000a_https://www.sherline.com/wp-content/uploads/2018/02/43190.png"/>
    <x v="3"/>
    <x v="0"/>
    <s v="In Stock#6 x 2&quot; Flat Head: WS-94, $0.08"/>
    <x v="0"/>
    <s v="#6 x 2&quot; Flat Head WS-94"/>
    <x v="28"/>
    <x v="0"/>
    <x v="3"/>
    <x v="5"/>
    <x v="0"/>
    <n v="31"/>
    <d v="2021-11-04T18:36:38"/>
    <x v="0"/>
    <x v="0"/>
  </r>
  <r>
    <x v="29"/>
    <x v="12"/>
    <x v="2"/>
    <x v="23"/>
    <s v="https://www.sherline.com/wp-content/uploads/2018/02/43190.png_x000a_https://www.sherline.com/wp-content/uploads/2018/02/43190.png"/>
    <x v="3"/>
    <x v="0"/>
    <s v="In Stock#8 x 1&quot; Flat Head: WS-20, $0.25"/>
    <x v="0"/>
    <s v="#8 x 1&quot; Flat Head WS-20"/>
    <x v="29"/>
    <x v="0"/>
    <x v="3"/>
    <x v="5"/>
    <x v="0"/>
    <n v="32"/>
    <d v="2021-11-04T18:38:12"/>
    <x v="0"/>
    <x v="0"/>
  </r>
  <r>
    <x v="30"/>
    <x v="9"/>
    <x v="2"/>
    <x v="24"/>
    <s v="https://www.sherline.com/wp-content/uploads/2018/02/43190.png_x000a_https://www.sherline.com/wp-content/uploads/2018/02/43190.png"/>
    <x v="3"/>
    <x v="5"/>
    <s v="#8 x 1 1/2&quot; Flat Head: 593-KO5-1T, $0.07"/>
    <x v="0"/>
    <s v="#8 x 1 1/2&quot; Flat Head 593-KO5-1T"/>
    <x v="30"/>
    <x v="0"/>
    <x v="3"/>
    <x v="5"/>
    <x v="0"/>
    <n v="33"/>
    <d v="2021-11-04T18:40:16"/>
    <x v="0"/>
    <x v="0"/>
  </r>
  <r>
    <x v="31"/>
    <x v="19"/>
    <x v="2"/>
    <x v="25"/>
    <s v="https://www.sherline.com/wp-content/uploads/2018/02/43190.png_x000a_https://www.sherline.com/wp-content/uploads/2018/02/43190.png"/>
    <x v="2"/>
    <x v="1"/>
    <s v="'Out of Stock'#8 x 4&quot; Flat Head: 4&quot;, $0.29"/>
    <x v="0"/>
    <s v="#8 x 4&quot; Flat Head 4&quot;"/>
    <x v="31"/>
    <x v="0"/>
    <x v="3"/>
    <x v="5"/>
    <x v="0"/>
    <n v="34"/>
    <d v="2021-11-04T18:41:54"/>
    <x v="0"/>
    <x v="0"/>
  </r>
  <r>
    <x v="32"/>
    <x v="20"/>
    <x v="2"/>
    <x v="26"/>
    <s v="https://www.sherline.com/wp-content/uploads/2018/02/43190.png_x000a_https://www.sherline.com/wp-content/uploads/2018/02/43190.png"/>
    <x v="2"/>
    <x v="1"/>
    <s v="'Out of Stock'#12 x 3/4&quot; Flat Head: 3/4&quot;, $0.22"/>
    <x v="0"/>
    <s v="#12 x 3/4&quot; Flat Head 3/4&quot;"/>
    <x v="32"/>
    <x v="0"/>
    <x v="3"/>
    <x v="5"/>
    <x v="1"/>
    <n v="35"/>
    <d v="2021-11-04T18:44:32"/>
    <x v="0"/>
    <x v="0"/>
  </r>
  <r>
    <x v="33"/>
    <x v="21"/>
    <x v="2"/>
    <x v="27"/>
    <s v="https://www.sherline.com/wp-content/uploads/2018/02/43190.png_x000a_https://www.sherline.com/wp-content/uploads/2018/02/43190.png"/>
    <x v="2"/>
    <x v="1"/>
    <s v="'Out of Stock'#12 x 1&quot; Flat Head: 1&quot;, $0.19"/>
    <x v="0"/>
    <s v="#12 x 1&quot; Flat Head 1&quot;"/>
    <x v="33"/>
    <x v="0"/>
    <x v="3"/>
    <x v="5"/>
    <x v="2"/>
    <n v="36"/>
    <d v="2021-11-04T18:45:59"/>
    <x v="0"/>
    <x v="0"/>
  </r>
  <r>
    <x v="34"/>
    <x v="22"/>
    <x v="2"/>
    <x v="28"/>
    <s v="https://www.sherline.com/wp-content/uploads/2018/02/43190.png_x000a_https://www.sherline.com/wp-content/uploads/2018/02/43190.png"/>
    <x v="2"/>
    <x v="1"/>
    <s v="'Out of Stock'#12 x 1 1/2&quot; Flat Head: 1 1/2&quot;, $0.21"/>
    <x v="0"/>
    <s v="#12 x 1 1/2&quot; Flat Head 1 1/2&quot;"/>
    <x v="34"/>
    <x v="0"/>
    <x v="3"/>
    <x v="5"/>
    <x v="0"/>
    <n v="37"/>
    <d v="2021-11-04T18:48:36"/>
    <x v="0"/>
    <x v="0"/>
  </r>
  <r>
    <x v="35"/>
    <x v="23"/>
    <x v="2"/>
    <x v="25"/>
    <s v="https://www.sherline.com/wp-content/uploads/2018/02/43190.png_x000a_https://www.sherline.com/wp-content/uploads/2018/02/43190.png"/>
    <x v="2"/>
    <x v="1"/>
    <s v="'Out of Stock'#12 x 4&quot; Flat Head: 4&quot;, $0.75"/>
    <x v="0"/>
    <s v="#12 x 4&quot; Flat Head 4&quot;"/>
    <x v="35"/>
    <x v="0"/>
    <x v="3"/>
    <x v="5"/>
    <x v="0"/>
    <n v="38"/>
    <d v="2021-11-04T18:50:12"/>
    <x v="0"/>
    <x v="0"/>
  </r>
  <r>
    <x v="36"/>
    <x v="24"/>
    <x v="8"/>
    <x v="29"/>
    <s v="https://mcfaddens.com/images/product/medium/147671.jpg_x000a_https://mcfaddens.com/images/product/medium/147671.jpg"/>
    <x v="2"/>
    <x v="5"/>
    <s v="#6 x 3/4&quot; Flat Head: WS-56, $0.13"/>
    <x v="0"/>
    <s v="#6 x 3/4&quot; Flat Head WS-56"/>
    <x v="36"/>
    <x v="2"/>
    <x v="3"/>
    <x v="5"/>
    <x v="2"/>
    <n v="39"/>
    <d v="2021-11-04T18:54:31"/>
    <x v="0"/>
    <x v="0"/>
  </r>
  <r>
    <x v="37"/>
    <x v="15"/>
    <x v="6"/>
    <x v="7"/>
    <s v="http://cdn.shopify.com/s/files/1/1255/8379/products/2299_1-B_7cb76349-ae56-4429-bdcc-c6229ee06ea3_800x.jpg?v=1628090446_x000a_http://cdn.shopify.com/s/files/1/1255/8379/products/2299_1-B_7cb76349-ae56-4429-bdcc-c6229ee06ea3_800x.jpg?v=1628090446"/>
    <x v="5"/>
    <x v="0"/>
    <s v="In Stock6-32 x 1/4&quot; Round Head: , $0.08"/>
    <x v="0"/>
    <s v="6-32 x 1/4&quot; Round Head "/>
    <x v="37"/>
    <x v="3"/>
    <x v="3"/>
    <x v="3"/>
    <x v="0"/>
    <n v="40"/>
    <d v="2021-11-04T18:56:16"/>
    <x v="0"/>
    <x v="0"/>
  </r>
  <r>
    <x v="38"/>
    <x v="8"/>
    <x v="6"/>
    <x v="7"/>
    <s v="https://i.ebayimg.com/images/g/DkYAAOSw6fpbW34H/s-l300.jpg_x000a_https://i.ebayimg.com/images/g/DkYAAOSw6fpbW34H/s-l300.jpg"/>
    <x v="2"/>
    <x v="1"/>
    <s v="'Out of Stock'6-32 x 1/2&quot; Round Head: , $0.11"/>
    <x v="0"/>
    <s v="6-32 x 1/2&quot; Round Head "/>
    <x v="38"/>
    <x v="3"/>
    <x v="3"/>
    <x v="3"/>
    <x v="2"/>
    <n v="41"/>
    <d v="2021-11-04T18:57:46"/>
    <x v="0"/>
    <x v="0"/>
  </r>
  <r>
    <x v="39"/>
    <x v="8"/>
    <x v="6"/>
    <x v="30"/>
    <s v="https://i.ebayimg.com/images/g/9VUAAOSwqj5bW34d/s-l300.jpg_x000a_https://i.ebayimg.com/images/g/9VUAAOSwqj5bW34d/s-l300.jpg"/>
    <x v="5"/>
    <x v="0"/>
    <s v="In Stock6-32 x 3/4&quot; Round Head: 385-084, $0.11"/>
    <x v="0"/>
    <s v="6-32 x 3/4&quot; Round Head 385-084"/>
    <x v="39"/>
    <x v="3"/>
    <x v="3"/>
    <x v="3"/>
    <x v="0"/>
    <n v="42"/>
    <d v="2021-11-04T18:59:20"/>
    <x v="0"/>
    <x v="0"/>
  </r>
  <r>
    <x v="40"/>
    <x v="9"/>
    <x v="2"/>
    <x v="31"/>
    <s v="https://cdn11.bigcommerce.com/s-scmrv6kkrz/products/201910/images/174467/no-6-32-x-1-phillips-pan-head-a-point-machine-screw-18-8-stainless-steel-64c1__05661.1568390666.386.513.jpg?c=2_x000a_https://cdn11.bigcommerce.com/s-scmrv6kkrz/products/201910/images/174467/no-6-32-x-1-phillips-pan-head-a-point-machine-screw-18-8-stainless-steel-64c1__05661.1568390666.386.513.jpg?c=2"/>
    <x v="0"/>
    <x v="0"/>
    <s v="In Stock6-32 x 1&quot; Round Head: 385-B25-1Y, $0.07"/>
    <x v="0"/>
    <s v="6-32 x 1&quot; Round Head 385-B25-1Y"/>
    <x v="40"/>
    <x v="0"/>
    <x v="3"/>
    <x v="3"/>
    <x v="0"/>
    <n v="43"/>
    <d v="2021-11-04T19:00:29"/>
    <x v="0"/>
    <x v="0"/>
  </r>
  <r>
    <x v="41"/>
    <x v="0"/>
    <x v="2"/>
    <x v="32"/>
    <s v="https://homedepot.scene7.com/is/image/homedepotcanada/p_1000181325.jpg?wid=1000&amp;hei=1000&amp;op_sharpen=1_x000a_https://homedepot.scene7.com/is/image/homedepotcanada/p_1000181325.jpg?wid=1000&amp;hei=1000&amp;op_sharpen=1"/>
    <x v="5"/>
    <x v="0"/>
    <s v="In Stock8-32 x 1/2&quot; Round Head: 385-B07-1M, $0.05"/>
    <x v="0"/>
    <s v="8-32 x 1/2&quot; Round Head 385-B07-1M"/>
    <x v="41"/>
    <x v="0"/>
    <x v="3"/>
    <x v="3"/>
    <x v="0"/>
    <n v="44"/>
    <d v="2021-11-04T19:01:54"/>
    <x v="0"/>
    <x v="0"/>
  </r>
  <r>
    <x v="42"/>
    <x v="25"/>
    <x v="6"/>
    <x v="33"/>
    <s v="https://images.thdstatic.com/productImages/d3048261-ef1d-4708-9dfd-90876229c73c/svn/machine-screws-803031-64_300.jpg_x000a_https://images.thdstatic.com/productImages/d3048261-ef1d-4708-9dfd-90876229c73c/svn/machine-screws-803031-64_300.jpg"/>
    <x v="0"/>
    <x v="3"/>
    <s v="Out of Stock8-32 x 3/4&quot; Round Head: 385-B56-1W, $0.16"/>
    <x v="0"/>
    <s v="8-32 x 3/4&quot; Round Head 385-B56-1W"/>
    <x v="42"/>
    <x v="3"/>
    <x v="3"/>
    <x v="3"/>
    <x v="0"/>
    <n v="45"/>
    <d v="2021-11-04T19:03:13"/>
    <x v="0"/>
    <x v="0"/>
  </r>
  <r>
    <x v="43"/>
    <x v="11"/>
    <x v="2"/>
    <x v="34"/>
    <s v="https://images.thdstatic.com/productImages/4fc08b20-5e50-49c6-a1c5-33fdd0bcc5de/svn/hillman-machine-screws-3302-64_600.jpg_x000a_https://images.thdstatic.com/productImages/4fc08b20-5e50-49c6-a1c5-33fdd0bcc5de/svn/hillman-machine-screws-3302-64_600.jpg"/>
    <x v="0"/>
    <x v="0"/>
    <s v="In Stock8-32 x 1 1/4&quot; Round Head: 385-251, $0.14"/>
    <x v="0"/>
    <s v="8-32 x 1 1/4&quot; Round Head 385-251"/>
    <x v="43"/>
    <x v="0"/>
    <x v="3"/>
    <x v="3"/>
    <x v="0"/>
    <n v="46"/>
    <d v="2021-11-04T19:04:10"/>
    <x v="0"/>
    <x v="0"/>
  </r>
  <r>
    <x v="44"/>
    <x v="25"/>
    <x v="2"/>
    <x v="35"/>
    <s v="https://m.media-amazon.com/images/I/61xtzk1bxgL._SL1500_.jpg_x000a_https://m.media-amazon.com/images/I/61xtzk1bxgL._SL1500_.jpg"/>
    <x v="0"/>
    <x v="0"/>
    <s v="In Stock8-32 x 1 1/2&quot; Round Head: 835-C39-1X, $0.16"/>
    <x v="0"/>
    <s v="8-32 x 1 1/2&quot; Round Head 835-C39-1X"/>
    <x v="44"/>
    <x v="0"/>
    <x v="3"/>
    <x v="3"/>
    <x v="0"/>
    <n v="47"/>
    <d v="2021-11-04T19:05:21"/>
    <x v="0"/>
    <x v="0"/>
  </r>
  <r>
    <x v="45"/>
    <x v="0"/>
    <x v="2"/>
    <x v="36"/>
    <s v="https://ae01.alicdn.com/kf/HTB1iLo4OVXXXXaiapXXq6xXFXXX3/100pcs-M3-washer-Stainless-Steel-Form-A-Flat-Washers-To-Fit-Metric-Bolt-Screws-Hardware.jpg_x000a_https://ae01.alicdn.com/kf/HTB1iLo4OVXXXXaiapXXq6xXFXXX3/100pcs-M3-washer-Stainless-Steel-Form-A-Flat-Washers-To-Fit-Metric-Bolt-Screws-Hardware.jpg"/>
    <x v="2"/>
    <x v="6"/>
    <s v="-M3 Washers: M3, $0.05"/>
    <x v="0"/>
    <s v="M3 Washers M3"/>
    <x v="45"/>
    <x v="4"/>
    <x v="4"/>
    <x v="6"/>
    <x v="0"/>
    <n v="48"/>
    <d v="2021-11-04T19:06:45"/>
    <x v="0"/>
    <x v="0"/>
  </r>
  <r>
    <x v="46"/>
    <x v="26"/>
    <x v="6"/>
    <x v="37"/>
    <s v="https://homedepot.scene7.com/is/image/homedepotcanada/p_1000181346.jpg?wid=1000&amp;hei=1000&amp;op_sharpen=1_x000a_https://homedepot.scene7.com/is/image/homedepotcanada/p_1000181346.jpg?wid=1000&amp;hei=1000&amp;op_sharpen=1"/>
    <x v="0"/>
    <x v="3"/>
    <s v="Out of Stock10-32 x 1/2&quot; Round Head: 385-B02-1C, $0.18"/>
    <x v="0"/>
    <s v="10-32 x 1/2&quot; Round Head 385-B02-1C"/>
    <x v="46"/>
    <x v="3"/>
    <x v="3"/>
    <x v="3"/>
    <x v="0"/>
    <n v="49"/>
    <d v="2021-11-04T19:08:00"/>
    <x v="0"/>
    <x v="0"/>
  </r>
  <r>
    <x v="47"/>
    <x v="20"/>
    <x v="6"/>
    <x v="7"/>
    <s v="https://homedepot.scene7.com/is/image/homedepotcanada/p_1000181344.jpg?wid=1000&amp;hei=1000&amp;op_sharpen=1_x000a_https://homedepot.scene7.com/is/image/homedepotcanada/p_1000181344.jpg?wid=1000&amp;hei=1000&amp;op_sharpen=1"/>
    <x v="0"/>
    <x v="3"/>
    <s v="Out of Stock10-32 x 3/4&quot; Round Head: , $0.22"/>
    <x v="0"/>
    <s v="10-32 x 3/4&quot; Round Head "/>
    <x v="47"/>
    <x v="3"/>
    <x v="3"/>
    <x v="3"/>
    <x v="0"/>
    <n v="50"/>
    <d v="2021-11-04T19:09:05"/>
    <x v="0"/>
    <x v="0"/>
  </r>
  <r>
    <x v="48"/>
    <x v="7"/>
    <x v="2"/>
    <x v="38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&quot; Round Head: 385-B33-2M, $0.12"/>
    <x v="0"/>
    <s v="10-32 x 1&quot; Round Head 385-B33-2M"/>
    <x v="48"/>
    <x v="0"/>
    <x v="3"/>
    <x v="3"/>
    <x v="0"/>
    <n v="51"/>
    <d v="2021-11-04T19:10:06"/>
    <x v="0"/>
    <x v="0"/>
  </r>
  <r>
    <x v="49"/>
    <x v="25"/>
    <x v="2"/>
    <x v="39"/>
    <s v="https://homedepot.scene7.com/is/image/homedepotcanada/p_1000181346.jpg?wid=1000&amp;hei=1000&amp;op_sharpen=1_x000a_https://homedepot.scene7.com/is/image/homedepotcanada/p_1000181346.jpg?wid=1000&amp;hei=1000&amp;op_sharpen=1"/>
    <x v="0"/>
    <x v="0"/>
    <s v="In Stock10-32 x 1 1/4&quot; Round Head: 385-116, $0.16"/>
    <x v="0"/>
    <s v="10-32 x 1 1/4&quot; Round Head 385-116"/>
    <x v="49"/>
    <x v="0"/>
    <x v="3"/>
    <x v="3"/>
    <x v="0"/>
    <n v="52"/>
    <d v="2021-11-04T19:11:17"/>
    <x v="0"/>
    <x v="0"/>
  </r>
  <r>
    <x v="50"/>
    <x v="27"/>
    <x v="2"/>
    <x v="7"/>
    <s v="https://www.conklinmetal.com/wp-content/uploads/2019/11/Perforated-Galvanized-Strap-e1616437463456.png_x000a_https://www.conklinmetal.com/wp-content/uploads/2019/11/Perforated-Galvanized-Strap-e1616437463456.png"/>
    <x v="2"/>
    <x v="1"/>
    <s v="'Out of Stock'Perforated Hanger Strap: , $1.48"/>
    <x v="0"/>
    <s v="Perforated Hanger Strap "/>
    <x v="50"/>
    <x v="0"/>
    <x v="3"/>
    <x v="1"/>
    <x v="1"/>
    <n v="53"/>
    <d v="2021-11-04T19:12:35"/>
    <x v="0"/>
    <x v="0"/>
  </r>
  <r>
    <x v="51"/>
    <x v="0"/>
    <x v="2"/>
    <x v="40"/>
    <s v="https://pim.wurth.ca/Product/34014.jpg_x000a_https://pim.wurth.ca/Product/34014.jpg"/>
    <x v="5"/>
    <x v="0"/>
    <s v="In StockHex Nut 6-32: B-1521, $0.05"/>
    <x v="0"/>
    <s v="Hex Nut 6-32 B-1521"/>
    <x v="51"/>
    <x v="0"/>
    <x v="3"/>
    <x v="4"/>
    <x v="0"/>
    <n v="54"/>
    <d v="2021-11-04T19:14:05"/>
    <x v="0"/>
    <x v="0"/>
  </r>
  <r>
    <x v="52"/>
    <x v="28"/>
    <x v="9"/>
    <x v="7"/>
    <s v="https://cdn11.bigcommerce.com/s-scmrv6kkrz/images/stencil/1280x1280/products/200916/174916/no-1-hex-nut-stainless-steel-50ef__91660.1568390679.jpg?c=2_x000a_https://cdn11.bigcommerce.com/s-scmrv6kkrz/images/stencil/1280x1280/products/200916/174916/no-1-hex-nut-stainless-steel-50ef__91660.1568390679.jpg?c=2"/>
    <x v="2"/>
    <x v="1"/>
    <s v="'Out of Stock'10-32 Hex Nut : , $0.04"/>
    <x v="0"/>
    <s v="10-32 Hex Nut  "/>
    <x v="52"/>
    <x v="3"/>
    <x v="3"/>
    <x v="4"/>
    <x v="2"/>
    <n v="55"/>
    <d v="2021-11-04T19:14:59"/>
    <x v="0"/>
    <x v="0"/>
  </r>
  <r>
    <x v="53"/>
    <x v="29"/>
    <x v="2"/>
    <x v="26"/>
    <s v="https://m.media-amazon.com/images/I/71zzBVtnSPL._SX342_.jpg_x000a_https://m.media-amazon.com/images/I/71zzBVtnSPL._SX342_.jpg"/>
    <x v="2"/>
    <x v="1"/>
    <s v="'Out of Stock'1/4-20 x 3/4&quot; Hex Bolt : 3/4&quot;, $0.17"/>
    <x v="0"/>
    <s v="1/4-20 x 3/4&quot; Hex Bolt  3/4&quot;"/>
    <x v="53"/>
    <x v="0"/>
    <x v="3"/>
    <x v="7"/>
    <x v="0"/>
    <n v="56"/>
    <d v="2021-11-04T19:16:49"/>
    <x v="0"/>
    <x v="0"/>
  </r>
  <r>
    <x v="54"/>
    <x v="30"/>
    <x v="2"/>
    <x v="41"/>
    <s v="http://cdn.shopify.com/s/files/1/1244/2390/products/hex-cap-screw_c3040ba3-bd08-4a51-bb3d-fafb6b9f51d1_grande.png?v=1557859384_x000a_http://cdn.shopify.com/s/files/1/1244/2390/products/hex-cap-screw_c3040ba3-bd08-4a51-bb3d-fafb6b9f51d1_grande.png?v=1557859384"/>
    <x v="2"/>
    <x v="1"/>
    <s v="'Out of Stock'1/4-20 x 2&quot; Hex Bolt : 2&quot;, $0.46"/>
    <x v="0"/>
    <s v="1/4-20 x 2&quot; Hex Bolt  2&quot;"/>
    <x v="54"/>
    <x v="0"/>
    <x v="3"/>
    <x v="7"/>
    <x v="0"/>
    <n v="57"/>
    <d v="2021-11-04T19:17:59"/>
    <x v="0"/>
    <x v="0"/>
  </r>
  <r>
    <x v="55"/>
    <x v="31"/>
    <x v="2"/>
    <x v="41"/>
    <s v="https://cdn.shopify.com/s/files/1/0974/6070/products/Grade_2_Hex_Bolt_Plain_Steel_2e34c303-4583-4ed3-8e2b-b152fdb48cc5_2048x.jpeg?v=1481146271_x000a_https://cdn.shopify.com/s/files/1/0974/6070/products/Grade_2_Hex_Bolt_Plain_Steel_2e34c303-4583-4ed3-8e2b-b152fdb48cc5_2048x.jpeg?v=1481146271"/>
    <x v="2"/>
    <x v="1"/>
    <s v="'Out of Stock'3/8-16 x 2&quot; Hex Bolt : 2&quot;, $0.93"/>
    <x v="0"/>
    <s v="3/8-16 x 2&quot; Hex Bolt  2&quot;"/>
    <x v="55"/>
    <x v="0"/>
    <x v="3"/>
    <x v="7"/>
    <x v="0"/>
    <n v="58"/>
    <d v="2021-11-04T19:25:31"/>
    <x v="0"/>
    <x v="0"/>
  </r>
  <r>
    <x v="56"/>
    <x v="32"/>
    <x v="2"/>
    <x v="42"/>
    <s v="https://cdn.shopify.com/s/files/1/0974/6070/products/Grade_2_Hex_Bolt_Plain_Steel_ec911976-fe7a-478a-816b-7213c3d7cd21_2048x.jpeg?v=1481146284_x000a_https://cdn.shopify.com/s/files/1/0974/6070/products/Grade_2_Hex_Bolt_Plain_Steel_ec911976-fe7a-478a-816b-7213c3d7cd21_2048x.jpeg?v=1481146284"/>
    <x v="2"/>
    <x v="1"/>
    <s v="'Out of Stock'3/8-16 x 3&quot; Hex Bolt : 3&quot;, $1.38"/>
    <x v="0"/>
    <s v="3/8-16 x 3&quot; Hex Bolt  3&quot;"/>
    <x v="56"/>
    <x v="0"/>
    <x v="3"/>
    <x v="7"/>
    <x v="0"/>
    <n v="59"/>
    <d v="2021-11-04T19:28:10"/>
    <x v="0"/>
    <x v="0"/>
  </r>
  <r>
    <x v="57"/>
    <x v="33"/>
    <x v="2"/>
    <x v="25"/>
    <s v="https://m.media-amazon.com/images/I/51YZZMBNP+L._SL1000_.jpg_x000a_https://m.media-amazon.com/images/I/51YZZMBNP+L._SL1000_.jpg"/>
    <x v="2"/>
    <x v="1"/>
    <s v="'Out of Stock'3/8-16 x 4&quot; Hex Bolt : 4&quot;, $2.06"/>
    <x v="0"/>
    <s v="3/8-16 x 4&quot; Hex Bolt  4&quot;"/>
    <x v="57"/>
    <x v="0"/>
    <x v="3"/>
    <x v="7"/>
    <x v="0"/>
    <n v="60"/>
    <d v="2021-11-04T19:29:59"/>
    <x v="0"/>
    <x v="0"/>
  </r>
  <r>
    <x v="58"/>
    <x v="34"/>
    <x v="2"/>
    <x v="43"/>
    <s v="https://cdn11.bigcommerce.com/s-1lji4r5cj2/images/stencil/1280x1280/products/737/1741/3-8-16-x-5-Inch-Stainless-Steel-Hex-Bolt__S_1__71967.1602273565.jpg?c=1_x000a_https://cdn11.bigcommerce.com/s-1lji4r5cj2/images/stencil/1280x1280/products/737/1741/3-8-16-x-5-Inch-Stainless-Steel-Hex-Bolt__S_1__71967.1602273565.jpg?c=1"/>
    <x v="2"/>
    <x v="1"/>
    <s v="'Out of Stock'3/8-16 x 5&quot; Hex Bolt : 5&quot;, $3.03"/>
    <x v="0"/>
    <s v="3/8-16 x 5&quot; Hex Bolt  5&quot;"/>
    <x v="58"/>
    <x v="0"/>
    <x v="3"/>
    <x v="7"/>
    <x v="0"/>
    <n v="61"/>
    <d v="2021-11-04T19:31:24"/>
    <x v="0"/>
    <x v="0"/>
  </r>
  <r>
    <x v="59"/>
    <x v="9"/>
    <x v="2"/>
    <x v="44"/>
    <s v="https://cdn11.bigcommerce.com/s-hlsk6yq0/images/stencil/1280x1280/products/281983/1247383/item-phil-round-ms-zp__54435.1539220347.jpg?c=2_x000a_https://cdn11.bigcommerce.com/s-hlsk6yq0/images/stencil/1280x1280/products/281983/1247383/item-phil-round-ms-zp__54435.1539220347.jpg?c=2"/>
    <x v="5"/>
    <x v="0"/>
    <s v="In Stock10-24 x 1/2&quot; Round Head: 385-B26-1C, $0.07"/>
    <x v="0"/>
    <s v="10-24 x 1/2&quot; Round Head 385-B26-1C"/>
    <x v="59"/>
    <x v="0"/>
    <x v="3"/>
    <x v="3"/>
    <x v="0"/>
    <n v="62"/>
    <d v="2021-11-04T19:33:37"/>
    <x v="0"/>
    <x v="0"/>
  </r>
  <r>
    <x v="60"/>
    <x v="21"/>
    <x v="6"/>
    <x v="45"/>
    <s v="https://images.thdstatic.com/productImages/40897193-9ec9-423c-968e-5d0b8e8e6101/svn/prime-line-socket-head-cap-screws-9169344-64_600.jpg_x000a_https://images.thdstatic.com/productImages/40897193-9ec9-423c-968e-5d0b8e8e6101/svn/prime-line-socket-head-cap-screws-9169344-64_600.jpg"/>
    <x v="2"/>
    <x v="1"/>
    <s v="'Out of Stock'10-24 x 1 1/4&quot; Round Head: 1 1/4&quot;, $0.19"/>
    <x v="0"/>
    <s v="10-24 x 1 1/4&quot; Round Head 1 1/4&quot;"/>
    <x v="60"/>
    <x v="3"/>
    <x v="3"/>
    <x v="3"/>
    <x v="0"/>
    <n v="63"/>
    <d v="2021-11-04T19:35:17"/>
    <x v="0"/>
    <x v="0"/>
  </r>
  <r>
    <x v="61"/>
    <x v="25"/>
    <x v="2"/>
    <x v="46"/>
    <s v="https://i.ebayimg.com/images/g/LUMAAOSwy~BaE3rP/s-l400.jpg_x000a_https://i.ebayimg.com/images/g/LUMAAOSwy~BaE3rP/s-l400.jpg"/>
    <x v="0"/>
    <x v="0"/>
    <s v="In Stock1/4-20 x 1/2&quot; Round Head: 385-210, $0.16"/>
    <x v="0"/>
    <s v="1/4-20 x 1/2&quot; Round Head 385-210"/>
    <x v="61"/>
    <x v="0"/>
    <x v="3"/>
    <x v="3"/>
    <x v="0"/>
    <n v="64"/>
    <d v="2021-11-04T19:37:01"/>
    <x v="0"/>
    <x v="0"/>
  </r>
  <r>
    <x v="62"/>
    <x v="25"/>
    <x v="2"/>
    <x v="47"/>
    <s v="https://m.media-amazon.com/images/I/31bjpWBv4ML._AC_SX355_.jpg_x000a_https://m.media-amazon.com/images/I/31bjpWBv4ML._AC_SX355_.jpg"/>
    <x v="0"/>
    <x v="0"/>
    <s v="In Stock1/4-20 x 3/4&quot; Round Head: 385-C28-1A, $0.16"/>
    <x v="0"/>
    <s v="1/4-20 x 3/4&quot; Round Head 385-C28-1A"/>
    <x v="62"/>
    <x v="0"/>
    <x v="3"/>
    <x v="3"/>
    <x v="0"/>
    <n v="65"/>
    <d v="2021-11-04T19:38:31"/>
    <x v="0"/>
    <x v="0"/>
  </r>
  <r>
    <x v="63"/>
    <x v="25"/>
    <x v="2"/>
    <x v="48"/>
    <s v="https://i.ebayimg.com/images/g/0AUAAOSw51xbW4Bh/s-l400.jpg_x000a_https://i.ebayimg.com/images/g/0AUAAOSw51xbW4Bh/s-l400.jpg"/>
    <x v="0"/>
    <x v="0"/>
    <s v="In Stock1/4-20 x 1&quot; Round Head: 385-209, $0.16"/>
    <x v="0"/>
    <s v="1/4-20 x 1&quot; Round Head 385-209"/>
    <x v="63"/>
    <x v="0"/>
    <x v="3"/>
    <x v="3"/>
    <x v="0"/>
    <n v="66"/>
    <d v="2021-11-04T19:39:38"/>
    <x v="0"/>
    <x v="0"/>
  </r>
  <r>
    <x v="64"/>
    <x v="22"/>
    <x v="2"/>
    <x v="49"/>
    <s v="https://m.media-amazon.com/images/I/31cusPrx-qL._AC_.jpg_x000a_https://m.media-amazon.com/images/I/31cusPrx-qL._AC_.jpg"/>
    <x v="0"/>
    <x v="0"/>
    <s v="In Stock1/4-20 x 1 1/2&quot; Round Head: 385-B38-1C, $0.21"/>
    <x v="0"/>
    <s v="1/4-20 x 1 1/2&quot; Round Head 385-B38-1C"/>
    <x v="64"/>
    <x v="0"/>
    <x v="3"/>
    <x v="3"/>
    <x v="0"/>
    <n v="67"/>
    <d v="2021-11-04T19:41:22"/>
    <x v="0"/>
    <x v="0"/>
  </r>
  <r>
    <x v="65"/>
    <x v="35"/>
    <x v="2"/>
    <x v="42"/>
    <s v="https://img3.fastenal.com/infp360pmm/derivates/3/001/877/28902.jpg_x000a_https://img3.fastenal.com/infp360pmm/derivates/3/001/877/28902.jpg"/>
    <x v="2"/>
    <x v="6"/>
    <s v="-1/4-20 x 3&quot; Round Head: 3&quot;, $1.9"/>
    <x v="0"/>
    <s v="1/4-20 x 3&quot; Round Head 3&quot;"/>
    <x v="65"/>
    <x v="0"/>
    <x v="3"/>
    <x v="3"/>
    <x v="2"/>
    <n v="68"/>
    <d v="2021-11-04T19:42:30"/>
    <x v="0"/>
    <x v="0"/>
  </r>
  <r>
    <x v="66"/>
    <x v="36"/>
    <x v="2"/>
    <x v="50"/>
    <s v="https://images.thdstatic.com/productImages/7098d4c6-8a50-4cd2-84ab-2956da19a4d7/svn/grip-rite-specialty-nails-10hgstpd1-64_1000.jpg_x000a_https://images.thdstatic.com/productImages/7098d4c6-8a50-4cd2-84ab-2956da19a4d7/svn/grip-rite-specialty-nails-10hgstpd1-64_1000.jpg"/>
    <x v="2"/>
    <x v="1"/>
    <s v="'Out of Stock'Spiral Deck Nails: 2 1/2&quot;, $0.02"/>
    <x v="0"/>
    <s v="Spiral Deck Nails 2 1/2&quot;"/>
    <x v="66"/>
    <x v="0"/>
    <x v="3"/>
    <x v="1"/>
    <x v="1"/>
    <n v="69"/>
    <d v="2021-11-04T19:43:30"/>
    <x v="0"/>
    <x v="0"/>
  </r>
  <r>
    <x v="67"/>
    <x v="37"/>
    <x v="2"/>
    <x v="51"/>
    <s v="https://www.madduxlumber.com/sm/product/5370/375304.jpg_x000a_https://www.madduxlumber.com/sm/product/5370/375304.jpg"/>
    <x v="2"/>
    <x v="1"/>
    <s v="'Out of Stock'3/16 x 2 1/4&quot; Tapper Screws: 2 1/4&quot;, $0.58"/>
    <x v="0"/>
    <s v="3/16 x 2 1/4&quot; Tapper Screws 2 1/4&quot;"/>
    <x v="67"/>
    <x v="0"/>
    <x v="3"/>
    <x v="1"/>
    <x v="1"/>
    <n v="70"/>
    <d v="2021-11-04T19:45:57"/>
    <x v="0"/>
    <x v="0"/>
  </r>
  <r>
    <x v="68"/>
    <x v="38"/>
    <x v="2"/>
    <x v="52"/>
    <s v="https://envisionoutdoorliving.com/wp-content/uploads/elementor/thumbs/evergrain-envision-composite-deck-screws-piled-v2-1-p3g13ps0c7rwb0cmks6el0i8nvrdtof0x48q4gveyy.png_x000a_https://envisionoutdoorliving.com/wp-content/uploads/elementor/thumbs/evergrain-envision-composite-deck-screws-piled-v2-1-p3g13ps0c7rwb0cmks6el0i8nvrdtof0x48q4gveyy.png"/>
    <x v="2"/>
    <x v="1"/>
    <s v="'Out of Stock'1 3/4&quot; Deck Screw: 1 3/4&quot;, $"/>
    <x v="0"/>
    <s v="1 3/4&quot; Deck Screw 1 3/4&quot;"/>
    <x v="68"/>
    <x v="0"/>
    <x v="3"/>
    <x v="1"/>
    <x v="1"/>
    <n v="71"/>
    <d v="2021-11-04T19:52:13"/>
    <x v="0"/>
    <x v="0"/>
  </r>
  <r>
    <x v="69"/>
    <x v="10"/>
    <x v="2"/>
    <x v="27"/>
    <s v="https://img4.fastenal.com/infp360pmm/derivates/3/001/227/444/0148425.jpg_x000a_https://img4.fastenal.com/infp360pmm/derivates/3/001/227/444/0148425.jpg"/>
    <x v="2"/>
    <x v="1"/>
    <s v="'Out of Stock'1&quot; Self Tapping Flat Head: 1&quot;, $0.15"/>
    <x v="0"/>
    <s v="1&quot; Self Tapping Flat Head 1&quot;"/>
    <x v="69"/>
    <x v="0"/>
    <x v="3"/>
    <x v="1"/>
    <x v="1"/>
    <n v="72"/>
    <d v="2021-11-04T19:54:49"/>
    <x v="0"/>
    <x v="0"/>
  </r>
  <r>
    <x v="70"/>
    <x v="39"/>
    <x v="2"/>
    <x v="27"/>
    <s v="https://mobileimages.lowes.com/productimages/472caaeb-7fb3-4017-81db-20c1be24df8c/05129329.jpg?size=pdhi_x000a_https://mobileimages.lowes.com/productimages/472caaeb-7fb3-4017-81db-20c1be24df8c/05129329.jpg?size=pdhi"/>
    <x v="2"/>
    <x v="1"/>
    <s v="'Out of Stock'Roofing Nails: 1&quot;, $0.03"/>
    <x v="0"/>
    <s v="Roofing Nails 1&quot;"/>
    <x v="70"/>
    <x v="0"/>
    <x v="3"/>
    <x v="1"/>
    <x v="1"/>
    <n v="73"/>
    <d v="2021-11-04T19:56:50"/>
    <x v="0"/>
    <x v="0"/>
  </r>
  <r>
    <x v="71"/>
    <x v="28"/>
    <x v="9"/>
    <x v="53"/>
    <s v="https://www.alstapingtools.com/pub/media/catalog/product/cache/8790ca8e2660b73e6e2b1fdcdd9b3dd2/image/480f417/806827-10-24-hex-nut.jpg_x000a_https://www.alstapingtools.com/pub/media/catalog/product/cache/8790ca8e2660b73e6e2b1fdcdd9b3dd2/image/480f417/806827-10-24-hex-nut.jpg"/>
    <x v="2"/>
    <x v="1"/>
    <s v="'Out of Stock'10-24 Hex Nut: 155-PO8-1T, $0.04"/>
    <x v="0"/>
    <s v="10-24 Hex Nut 155-PO8-1T"/>
    <x v="71"/>
    <x v="3"/>
    <x v="3"/>
    <x v="4"/>
    <x v="0"/>
    <n v="74"/>
    <d v="2021-11-04T19:59:35"/>
    <x v="0"/>
    <x v="0"/>
  </r>
  <r>
    <x v="72"/>
    <x v="0"/>
    <x v="2"/>
    <x v="54"/>
    <s v="https://m.media-amazon.com/images/I/71gD2939pLL._AC_SL1500_.jpg_x000a_https://m.media-amazon.com/images/I/71gD2939pLL._AC_SL1500_.jpg"/>
    <x v="5"/>
    <x v="0"/>
    <s v="In StockHex Nut 1/4-20 : 155-P06-1C, $0.05"/>
    <x v="0"/>
    <s v="Hex Nut 1/4-20  155-P06-1C"/>
    <x v="72"/>
    <x v="0"/>
    <x v="3"/>
    <x v="4"/>
    <x v="0"/>
    <n v="75"/>
    <d v="2021-11-04T20:01:42"/>
    <x v="0"/>
    <x v="0"/>
  </r>
  <r>
    <x v="73"/>
    <x v="40"/>
    <x v="2"/>
    <x v="55"/>
    <s v="https://img2.fastenal.com/infp360pmm/derivates/3/001/233/487/36409.jpg_x000a_https://img2.fastenal.com/infp360pmm/derivates/3/001/233/487/36409.jpg"/>
    <x v="2"/>
    <x v="1"/>
    <s v="'Out of Stock'3/8-16 Hex Nut: 3/8&quot;, $0.36"/>
    <x v="0"/>
    <s v="3/8-16 Hex Nut 3/8&quot;"/>
    <x v="73"/>
    <x v="0"/>
    <x v="5"/>
    <x v="4"/>
    <x v="1"/>
    <n v="76"/>
    <d v="2021-11-06T10:40:04"/>
    <x v="0"/>
    <x v="0"/>
  </r>
  <r>
    <x v="74"/>
    <x v="9"/>
    <x v="10"/>
    <x v="56"/>
    <s v="https://m.media-amazon.com/images/I/61IX854Zt9L._SL1500_.jpg_x000a_https://m.media-amazon.com/images/I/61IX854Zt9L._SL1500_.jpg"/>
    <x v="2"/>
    <x v="6"/>
    <s v="-1/4-20 Washer: 1/4&quot;, $0.07"/>
    <x v="0"/>
    <s v="1/4-20 Washer 1/4&quot;"/>
    <x v="74"/>
    <x v="3"/>
    <x v="5"/>
    <x v="6"/>
    <x v="2"/>
    <n v="77"/>
    <d v="2021-11-06T10:42:02"/>
    <x v="0"/>
    <x v="0"/>
  </r>
  <r>
    <x v="75"/>
    <x v="16"/>
    <x v="2"/>
    <x v="56"/>
    <s v="https://images.thdstatic.com/productImages/c601f9b0-8e0a-4827-8aaf-7787505e30ed/svn/lock-washers-261252-4f_600.jpg_x000a_https://images.thdstatic.com/productImages/c601f9b0-8e0a-4827-8aaf-7787505e30ed/svn/lock-washers-261252-4f_600.jpg"/>
    <x v="2"/>
    <x v="1"/>
    <s v="'Out of Stock'1/4-20 Split Washer: 1/4&quot;, $0.06"/>
    <x v="0"/>
    <s v="1/4-20 Split Washer 1/4&quot;"/>
    <x v="75"/>
    <x v="0"/>
    <x v="5"/>
    <x v="6"/>
    <x v="0"/>
    <n v="78"/>
    <d v="2021-11-06T10:43:29"/>
    <x v="0"/>
    <x v="0"/>
  </r>
  <r>
    <x v="76"/>
    <x v="24"/>
    <x v="2"/>
    <x v="55"/>
    <s v="https://homedepot.scene7.com/is/image/homedepotcanada/p_1000144562.jpg?wid=1000&amp;hei=1000&amp;op_sharpen=1_x000a_https://homedepot.scene7.com/is/image/homedepotcanada/p_1000144562.jpg?wid=1000&amp;hei=1000&amp;op_sharpen=1"/>
    <x v="2"/>
    <x v="1"/>
    <s v="'Out of Stock'3/8-16 Washer: 3/8&quot;, $0.13"/>
    <x v="0"/>
    <s v="3/8-16 Washer 3/8&quot;"/>
    <x v="76"/>
    <x v="0"/>
    <x v="5"/>
    <x v="6"/>
    <x v="0"/>
    <n v="79"/>
    <d v="2021-11-06T10:44:35"/>
    <x v="0"/>
    <x v="0"/>
  </r>
  <r>
    <x v="77"/>
    <x v="17"/>
    <x v="2"/>
    <x v="55"/>
    <s v="https://img0.fastenal.com/infp360pmm/derivates/3/001/304/585/33669.jpg_x000a_https://img0.fastenal.com/infp360pmm/derivates/3/001/304/585/33669.jpg"/>
    <x v="2"/>
    <x v="1"/>
    <s v="'Out of Stock'3/8-16 Split Washer: 3/8&quot;, $0.1"/>
    <x v="0"/>
    <s v="3/8-16 Split Washer 3/8&quot;"/>
    <x v="77"/>
    <x v="0"/>
    <x v="5"/>
    <x v="6"/>
    <x v="0"/>
    <n v="80"/>
    <d v="2021-11-06T10:45:42"/>
    <x v="0"/>
    <x v="0"/>
  </r>
  <r>
    <x v="78"/>
    <x v="41"/>
    <x v="2"/>
    <x v="56"/>
    <s v="https://m.media-amazon.com/images/I/71LMU3GtCgL._AC_SX355_.jpg_x000a_https://m.media-amazon.com/images/I/71LMU3GtCgL._AC_SX355_.jpg"/>
    <x v="2"/>
    <x v="7"/>
    <s v="Low Stock1/4 Rivets: 1/4&quot;, $0.54"/>
    <x v="0"/>
    <s v="1/4 Rivets 1/4&quot;"/>
    <x v="78"/>
    <x v="0"/>
    <x v="5"/>
    <x v="8"/>
    <x v="0"/>
    <n v="81"/>
    <d v="2021-11-06T10:47:04"/>
    <x v="0"/>
    <x v="0"/>
  </r>
  <r>
    <x v="79"/>
    <x v="6"/>
    <x v="2"/>
    <x v="57"/>
    <s v="https://i.ebayimg.com/images/g/ZOoAAOSwFe5Xxtuk/s-l300.jpg_x000a_https://i.ebayimg.com/images/g/ZOoAAOSwFe5Xxtuk/s-l300.jpg"/>
    <x v="2"/>
    <x v="7"/>
    <s v="Low Stock3/32 Rivets: 3/32&quot;, $0.09"/>
    <x v="0"/>
    <s v="3/32 Rivets 3/32&quot;"/>
    <x v="79"/>
    <x v="0"/>
    <x v="5"/>
    <x v="8"/>
    <x v="0"/>
    <n v="82"/>
    <d v="2021-11-06T10:48:44"/>
    <x v="0"/>
    <x v="0"/>
  </r>
  <r>
    <x v="80"/>
    <x v="36"/>
    <x v="2"/>
    <x v="58"/>
    <s v="https://m.media-amazon.com/images/I/71LMU3GtCgL._SX425_.jpg_x000a_https://m.media-amazon.com/images/I/71LMU3GtCgL._SX425_.jpg"/>
    <x v="2"/>
    <x v="7"/>
    <s v="Low Stock1/8 Rivets: 1/8&quot;, $0.02"/>
    <x v="0"/>
    <s v="1/8 Rivets 1/8&quot;"/>
    <x v="80"/>
    <x v="0"/>
    <x v="5"/>
    <x v="8"/>
    <x v="0"/>
    <n v="83"/>
    <d v="2021-11-06T10:52:16"/>
    <x v="0"/>
    <x v="0"/>
  </r>
  <r>
    <x v="81"/>
    <x v="8"/>
    <x v="2"/>
    <x v="59"/>
    <s v="https://www.albanycountyfasteners.com/mm5/graphics/00000001/open-end-blind-pop-rivets-aluminum-1-resize-min.jpg_x000a_https://www.albanycountyfasteners.com/mm5/graphics/00000001/open-end-blind-pop-rivets-aluminum-1-resize-min.jpg"/>
    <x v="2"/>
    <x v="7"/>
    <s v="Low Stock5/32 Rivets: 5/32&quot;, $0.11"/>
    <x v="0"/>
    <s v="5/32 Rivets 5/32&quot;"/>
    <x v="81"/>
    <x v="0"/>
    <x v="5"/>
    <x v="8"/>
    <x v="0"/>
    <n v="84"/>
    <d v="2021-11-06T10:54:02"/>
    <x v="0"/>
    <x v="0"/>
  </r>
  <r>
    <x v="82"/>
    <x v="25"/>
    <x v="2"/>
    <x v="60"/>
    <s v="https://cdn.rona.ca/images/0012067_L.jpg_x000a_https://cdn.rona.ca/images/0012067_L.jpg"/>
    <x v="2"/>
    <x v="7"/>
    <s v="Low Stock3/16 Rivets: 3/16&quot;, $0.16"/>
    <x v="0"/>
    <s v="3/16 Rivets 3/16&quot;"/>
    <x v="82"/>
    <x v="0"/>
    <x v="5"/>
    <x v="8"/>
    <x v="0"/>
    <n v="85"/>
    <d v="2021-11-06T10:55:12"/>
    <x v="0"/>
    <x v="0"/>
  </r>
  <r>
    <x v="83"/>
    <x v="38"/>
    <x v="2"/>
    <x v="7"/>
    <s v="https://www.pcboard.ca/image/cache/catalog/products/fasteners/Pan-Head-Screws-800x800.jpg_x000a_https://www.pcboard.ca/image/cache/catalog/products/fasteners/Pan-Head-Screws-800x800.jpg"/>
    <x v="2"/>
    <x v="1"/>
    <s v="'Out of Stock'M1.6: , $"/>
    <x v="0"/>
    <s v="M1.6 "/>
    <x v="83"/>
    <x v="0"/>
    <x v="6"/>
    <x v="3"/>
    <x v="1"/>
    <n v="86"/>
    <d v="2021-11-07T10:46:01"/>
    <x v="0"/>
    <x v="0"/>
  </r>
  <r>
    <x v="84"/>
    <x v="12"/>
    <x v="2"/>
    <x v="7"/>
    <s v="https://www.sherline.com/wp-content/uploads/2018/02/43190.png_x000a_https://www.sherline.com/wp-content/uploads/2018/02/43190.png"/>
    <x v="2"/>
    <x v="1"/>
    <s v="'Out of Stock'M1.6 Hex Nut: , $0.25"/>
    <x v="0"/>
    <s v="M1.6 Hex Nut "/>
    <x v="84"/>
    <x v="0"/>
    <x v="6"/>
    <x v="4"/>
    <x v="1"/>
    <n v="87"/>
    <d v="2021-11-07T10:46:52"/>
    <x v="0"/>
    <x v="0"/>
  </r>
  <r>
    <x v="85"/>
    <x v="22"/>
    <x v="2"/>
    <x v="7"/>
    <s v="https://www.albanycountyfasteners.com/mm5/graphics/00000001/flat-socket-cap-screws-18-8-stainless-steel-1-resize-min_300x300.jpg_x000a_https://www.albanycountyfasteners.com/mm5/graphics/00000001/flat-socket-cap-screws-18-8-stainless-steel-1-resize-min_300x300.jpg"/>
    <x v="2"/>
    <x v="1"/>
    <s v="'Out of Stock'M3 Flat Head Socket Head: , $0.21"/>
    <x v="0"/>
    <s v="M3 Flat Head Socket Head "/>
    <x v="85"/>
    <x v="0"/>
    <x v="6"/>
    <x v="7"/>
    <x v="1"/>
    <n v="88"/>
    <d v="2021-11-07T10:49:11"/>
    <x v="0"/>
    <x v="0"/>
  </r>
  <r>
    <x v="86"/>
    <x v="12"/>
    <x v="2"/>
    <x v="42"/>
    <s v="https://www.sherline.com/wp-content/uploads/2018/02/43190.png_x000a_https://www.sherline.com/wp-content/uploads/2018/02/43190.png"/>
    <x v="2"/>
    <x v="1"/>
    <s v="'Out of Stock'#8 x 3&quot; Flat Head: 3&quot;, $0.25"/>
    <x v="0"/>
    <s v="#8 x 3&quot; Flat Head 3&quot;"/>
    <x v="86"/>
    <x v="5"/>
    <x v="6"/>
    <x v="5"/>
    <x v="0"/>
    <n v="89"/>
    <d v="2021-11-07T11:42:05"/>
    <x v="0"/>
    <x v="0"/>
  </r>
  <r>
    <x v="87"/>
    <x v="16"/>
    <x v="2"/>
    <x v="61"/>
    <s v="https://homedepot.scene7.com/is/image/homedepotcanada/p_1000128997.jpg?wid=1000&amp;hei=1000&amp;op_sharpen=1_x000a_https://homedepot.scene7.com/is/image/homedepotcanada/p_1000128997.jpg?wid=1000&amp;hei=1000&amp;op_sharpen=1"/>
    <x v="2"/>
    <x v="6"/>
    <s v="-8-32 Hex Nut: 8/32&quot; 155-P05-1Y, $0.06"/>
    <x v="0"/>
    <s v="8-32 Hex Nut 8/32&quot; 155-P05-1Y"/>
    <x v="87"/>
    <x v="0"/>
    <x v="0"/>
    <x v="4"/>
    <x v="0"/>
    <n v="91"/>
    <d v="2021-11-13T13:04:44"/>
    <x v="0"/>
    <x v="0"/>
  </r>
  <r>
    <x v="88"/>
    <x v="6"/>
    <x v="2"/>
    <x v="36"/>
    <s v="https://img4.fastenal.com/infp360pmm/derivates/3/001/137/094/11505674.jpg_x000a_https://img4.fastenal.com/infp360pmm/derivates/3/001/137/094/11505674.jpg"/>
    <x v="2"/>
    <x v="4"/>
    <s v="3M3 Locknut: M3, $0.09"/>
    <x v="0"/>
    <s v="M3 Locknut M3"/>
    <x v="88"/>
    <x v="0"/>
    <x v="0"/>
    <x v="4"/>
    <x v="0"/>
    <n v="92"/>
    <d v="2021-11-13T13:13:34"/>
    <x v="0"/>
    <x v="0"/>
  </r>
  <r>
    <x v="89"/>
    <x v="24"/>
    <x v="2"/>
    <x v="36"/>
    <s v="https://ae01.alicdn.com/kf/HTB1g_fJah9YBuNjy0Ffq6xIsVXac/100pcs-ISO7380-304-stainless-steel-m3-5-M3x5-hexagon-button-head-screws-Allen-socket-round-head.jpg_Q90.jpg_.webp_x000a_https://ae01.alicdn.com/kf/HTB1g_fJah9YBuNjy0Ffq6xIsVXac/100pcs-ISO7380-304-stainless-steel-m3-5-M3x5-hexagon-button-head-screws-Allen-socket-round-head.jpg_Q90.jpg_.webp"/>
    <x v="2"/>
    <x v="1"/>
    <s v="'Out of Stock'M3 x 5 mm Socket: M3, $0.13"/>
    <x v="0"/>
    <s v="M3 x 5 mm Socket M3"/>
    <x v="89"/>
    <x v="0"/>
    <x v="0"/>
    <x v="9"/>
    <x v="0"/>
    <n v="93"/>
    <d v="2021-11-13T13:16:47"/>
    <x v="0"/>
    <x v="0"/>
  </r>
  <r>
    <x v="90"/>
    <x v="36"/>
    <x v="11"/>
    <x v="7"/>
    <s v="https://sc04.alicdn.com/kf/H0d5f214df6694868b77e4acc978c962bZ.jpg_Q55.jpg_x000a_https://sc04.alicdn.com/kf/H0d5f214df6694868b77e4acc978c962bZ.jpg_Q55.jpg"/>
    <x v="5"/>
    <x v="2"/>
    <s v="'In Stock'M3 split washer: , $0.02"/>
    <x v="0"/>
    <s v="M3 split washer "/>
    <x v="90"/>
    <x v="0"/>
    <x v="7"/>
    <x v="6"/>
    <x v="0"/>
    <n v="94"/>
    <d v="2021-11-22T13:19:11"/>
    <x v="0"/>
    <x v="0"/>
  </r>
  <r>
    <x v="91"/>
    <x v="42"/>
    <x v="2"/>
    <x v="7"/>
    <m/>
    <x v="7"/>
    <x v="2"/>
    <s v="'In Stock'ESC204 Lab 1 kit: , $9.42"/>
    <x v="0"/>
    <s v="ESC204 Lab 1 kit "/>
    <x v="91"/>
    <x v="0"/>
    <x v="0"/>
    <x v="2"/>
    <x v="0"/>
    <n v="95"/>
    <d v="2022-01-10T09:44:31"/>
    <x v="0"/>
    <x v="0"/>
  </r>
  <r>
    <x v="92"/>
    <x v="43"/>
    <x v="2"/>
    <x v="7"/>
    <m/>
    <x v="8"/>
    <x v="5"/>
    <s v="ESC204 Lab2 kit: , $23.87"/>
    <x v="0"/>
    <s v="ESC204 Lab2 kit "/>
    <x v="92"/>
    <x v="1"/>
    <x v="0"/>
    <x v="2"/>
    <x v="0"/>
    <n v="96"/>
    <d v="2022-02-01T15:12:15"/>
    <x v="0"/>
    <x v="0"/>
  </r>
  <r>
    <x v="93"/>
    <x v="44"/>
    <x v="2"/>
    <x v="62"/>
    <m/>
    <x v="9"/>
    <x v="6"/>
    <s v="-ESC204 Lab 3A kit (MECH) (x41): Mechatronics Kit, $16.54"/>
    <x v="0"/>
    <s v="ESC204 Lab 3A kit (MECH) (x41) Mechatronics Kit"/>
    <x v="93"/>
    <x v="0"/>
    <x v="0"/>
    <x v="2"/>
    <x v="2"/>
    <n v="101"/>
    <d v="2022-03-05T18:11:34"/>
    <x v="0"/>
    <x v="0"/>
  </r>
  <r>
    <x v="94"/>
    <x v="45"/>
    <x v="2"/>
    <x v="63"/>
    <m/>
    <x v="9"/>
    <x v="6"/>
    <s v="-ESC204 Lab 3B kit (IoT) (x41): Arduino Nano RP2040 for IoT, $9.73"/>
    <x v="0"/>
    <s v="ESC204 Lab 3B kit (IoT) (x41) Arduino Nano RP2040 for IoT"/>
    <x v="94"/>
    <x v="1"/>
    <x v="0"/>
    <x v="2"/>
    <x v="2"/>
    <n v="102"/>
    <d v="2022-03-05T18:12:56"/>
    <x v="0"/>
    <x v="0"/>
  </r>
  <r>
    <x v="95"/>
    <x v="46"/>
    <x v="2"/>
    <x v="7"/>
    <m/>
    <x v="2"/>
    <x v="6"/>
    <s v="-Caster ball 1&quot; : , $4.4"/>
    <x v="0"/>
    <s v="Caster ball 1&quot;  "/>
    <x v="95"/>
    <x v="1"/>
    <x v="0"/>
    <x v="1"/>
    <x v="0"/>
    <n v="103"/>
    <d v="2022-05-17T10:36:20"/>
    <x v="0"/>
    <x v="0"/>
  </r>
  <r>
    <x v="96"/>
    <x v="47"/>
    <x v="2"/>
    <x v="7"/>
    <m/>
    <x v="2"/>
    <x v="6"/>
    <s v="-Caster ball 1/2&quot;: , $2.28"/>
    <x v="0"/>
    <s v="Caster ball 1/2&quot; "/>
    <x v="96"/>
    <x v="1"/>
    <x v="0"/>
    <x v="1"/>
    <x v="0"/>
    <n v="104"/>
    <d v="2022-05-17T10:37:17"/>
    <x v="0"/>
    <x v="0"/>
  </r>
  <r>
    <x v="97"/>
    <x v="7"/>
    <x v="8"/>
    <x v="18"/>
    <s v="https://www.sherline.com/wp-content/uploads/2018/02/43190.png_x000a_https://www.sherline.com/wp-content/uploads/2018/02/43190.png"/>
    <x v="2"/>
    <x v="6"/>
    <s v="-#8 x 1/2&quot; Flat Head: 1/2&quot;, $0.12"/>
    <x v="0"/>
    <s v="#8 x 1/2&quot; Flat Head 1/2&quot;"/>
    <x v="97"/>
    <x v="2"/>
    <x v="8"/>
    <x v="5"/>
    <x v="0"/>
    <n v="105"/>
    <d v="2022-08-10T14:16:44"/>
    <x v="0"/>
    <x v="0"/>
  </r>
  <r>
    <x v="98"/>
    <x v="39"/>
    <x v="10"/>
    <x v="7"/>
    <s v="https://images.thdstatic.com/productImages/8ff794a6-c87d-4bf3-8cef-f7844203fbc2/svn/everbilt-flat-washers-800452-64_300.jpg_x000a_https://images.thdstatic.com/productImages/8ff794a6-c87d-4bf3-8cef-f7844203fbc2/svn/everbilt-flat-washers-800452-64_300.jpg"/>
    <x v="2"/>
    <x v="6"/>
    <s v="-#6 washer: , $0.03"/>
    <x v="0"/>
    <s v="#6 washer "/>
    <x v="98"/>
    <x v="3"/>
    <x v="8"/>
    <x v="6"/>
    <x v="0"/>
    <n v="106"/>
    <d v="2022-08-10T16:12:09"/>
    <x v="0"/>
    <x v="0"/>
  </r>
  <r>
    <x v="99"/>
    <x v="28"/>
    <x v="10"/>
    <x v="7"/>
    <s v="https://images.thdstatic.com/productImages/8ff794a6-c87d-4bf3-8cef-f7844203fbc2/svn/everbilt-flat-washers-800452-64_300.jpg_x000a_https://images.thdstatic.com/productImages/8ff794a6-c87d-4bf3-8cef-f7844203fbc2/svn/everbilt-flat-washers-800452-64_300.jpg"/>
    <x v="2"/>
    <x v="6"/>
    <s v="-#8 washer: , $0.04"/>
    <x v="0"/>
    <s v="#8 washer "/>
    <x v="99"/>
    <x v="3"/>
    <x v="8"/>
    <x v="6"/>
    <x v="0"/>
    <n v="107"/>
    <d v="2022-08-10T16:15:25"/>
    <x v="0"/>
    <x v="0"/>
  </r>
  <r>
    <x v="100"/>
    <x v="48"/>
    <x v="2"/>
    <x v="64"/>
    <s v="https://utoronto.sharepoint.com/:i:/s/fase-myhalfabrication/EQFabCHQlBdGqgAFKIN_LdoBLewz8dgmG7V8RVD4mK55Tw?e=fHwES3_x000a_https://utoronto.sharepoint.com/:i:/s/fase-myhalfabrication/EQFabCHQlBdGqgAFKIN_LdoBLewz8dgmG7V8RVD4mK55Tw?e=fHwES3"/>
    <x v="2"/>
    <x v="6"/>
    <s v="-ESP I - Measuring tape 30m: Rental - Return to MYFab, $99.99"/>
    <x v="0"/>
    <s v="ESP I - Measuring tape 30m Rental - Return to MYFab"/>
    <x v="100"/>
    <x v="1"/>
    <x v="0"/>
    <x v="2"/>
    <x v="0"/>
    <n v="108"/>
    <d v="2022-09-14T12:38:27"/>
    <x v="0"/>
    <x v="0"/>
  </r>
  <r>
    <x v="101"/>
    <x v="48"/>
    <x v="2"/>
    <x v="64"/>
    <s v="https://utoronto.sharepoint.com/:i:/r/sites/fase-myhalfabrication/SharedUploads/thumbnail_Measuring%20Wheel.jpg?csf=1&amp;web=1&amp;e=DUFxje_x000a_https://utoronto.sharepoint.com/:i:/r/sites/fase-myhalfabrication/SharedUploads/thumbnail_Measuring%20Wheel.jpg?csf=1&amp;web=1&amp;e=DUFxje"/>
    <x v="2"/>
    <x v="6"/>
    <s v="-ESP I - Measuring wheel: Rental - Return to MYFab, $99.99"/>
    <x v="0"/>
    <s v="ESP I - Measuring wheel Rental - Return to MYFab"/>
    <x v="101"/>
    <x v="1"/>
    <x v="0"/>
    <x v="2"/>
    <x v="0"/>
    <n v="109"/>
    <d v="2022-09-14T12:39:19"/>
    <x v="0"/>
    <x v="0"/>
  </r>
  <r>
    <x v="102"/>
    <x v="23"/>
    <x v="2"/>
    <x v="7"/>
    <s v="https://static.grainger.com/rp/s/is/image/Grainger/4HYC9_AS01?$zmmain$_x000a_https://static.grainger.com/rp/s/is/image/Grainger/4HYC9_AS01?$zmmain$"/>
    <x v="2"/>
    <x v="6"/>
    <s v="-Pipe strap 3/4&quot;: , $0.75"/>
    <x v="0"/>
    <s v="Pipe strap 3/4&quot; "/>
    <x v="102"/>
    <x v="6"/>
    <x v="9"/>
    <x v="1"/>
    <x v="0"/>
    <n v="110"/>
    <d v="2022-09-28T18:01:53"/>
    <x v="0"/>
    <x v="0"/>
  </r>
  <r>
    <x v="103"/>
    <x v="49"/>
    <x v="12"/>
    <x v="65"/>
    <s v="https://m.media-amazon.com/images/I/612f4WHy8wL._AC_SX679_.jpg_x000a_https://m.media-amazon.com/images/I/612f4WHy8wL._AC_SX679_.jpg"/>
    <x v="2"/>
    <x v="6"/>
    <s v="-Hinges 18 and 24 mm: https://www.amazon.ca/gp/product/B09N94GRCN/ref=ppx_yo_dt_b_asin_title_o00_s00?ie=UTF8&amp;th=1, $0.27"/>
    <x v="0"/>
    <s v="Hinges 18 and 24 mm https://www.amazon.ca/gp/product/B09N94GRCN/ref=ppx_yo_dt_b_asin_title_o00_s00?ie=UTF8&amp;th=1"/>
    <x v="103"/>
    <x v="7"/>
    <x v="10"/>
    <x v="1"/>
    <x v="0"/>
    <n v="111"/>
    <d v="2022-11-07T15:25:12"/>
    <x v="0"/>
    <x v="0"/>
  </r>
  <r>
    <x v="104"/>
    <x v="10"/>
    <x v="13"/>
    <x v="7"/>
    <s v="https://m.media-amazon.com/images/I/71NJ7j+IEDL._SL1500_.jpg_x000a_M3 insert"/>
    <x v="5"/>
    <x v="6"/>
    <s v="-Threaded inserts M3: , $0.15"/>
    <x v="0"/>
    <s v="Threaded inserts M3 "/>
    <x v="104"/>
    <x v="3"/>
    <x v="0"/>
    <x v="4"/>
    <x v="2"/>
    <n v="112"/>
    <d v="2023-01-30T15:38:26"/>
    <x v="0"/>
    <x v="0"/>
  </r>
  <r>
    <x v="105"/>
    <x v="50"/>
    <x v="14"/>
    <x v="66"/>
    <s v="https://m.media-amazon.com/images/I/51jtf6NZqgL._AC_SX569_.jpg_x000a_https://m.media-amazon.com/images/I/51jtf6NZqgL._AC_SX569_.jpg"/>
    <x v="2"/>
    <x v="6"/>
    <s v="-Toggle Clamp Latch (double screw): https://www.amazon.ca/dp/B08GQ84KB3?ref=ppx_yo2ov_dt_b_product_details&amp;th=1, $6.18"/>
    <x v="0"/>
    <s v="Toggle Clamp Latch (double screw) https://www.amazon.ca/dp/B08GQ84KB3?ref=ppx_yo2ov_dt_b_product_details&amp;th=1"/>
    <x v="105"/>
    <x v="8"/>
    <x v="11"/>
    <x v="1"/>
    <x v="0"/>
    <n v="113"/>
    <d v="2023-05-03T15:50:23"/>
    <x v="0"/>
    <x v="0"/>
  </r>
  <r>
    <x v="106"/>
    <x v="51"/>
    <x v="15"/>
    <x v="7"/>
    <s v="https://m.media-amazon.com/images/I/414e5EQ+5CL._AC_SX522_.jpg_x000a_https://m.media-amazon.com/images/I/414e5EQ+5CL._AC_SX522_.jpg"/>
    <x v="2"/>
    <x v="6"/>
    <s v="-Toggle Clamp Latch (single screw): , $7.45"/>
    <x v="0"/>
    <s v="Toggle Clamp Latch (single screw) "/>
    <x v="106"/>
    <x v="9"/>
    <x v="11"/>
    <x v="1"/>
    <x v="0"/>
    <n v="114"/>
    <d v="2023-05-04T13:45:41"/>
    <x v="0"/>
    <x v="0"/>
  </r>
  <r>
    <x v="107"/>
    <x v="0"/>
    <x v="2"/>
    <x v="45"/>
    <s v="https://cdn.rona.ca/images/1399357_L.jpg_x000a_https://cdn.rona.ca/images/1399357_L.jpg"/>
    <x v="3"/>
    <x v="6"/>
    <s v="-#8 x 1 1/4&quot; Flat Head: 1 1/4&quot;, $0.05"/>
    <x v="0"/>
    <s v="#8 x 1 1/4&quot; Flat Head 1 1/4&quot;"/>
    <x v="107"/>
    <x v="1"/>
    <x v="12"/>
    <x v="5"/>
    <x v="0"/>
    <n v="115"/>
    <d v="2023-08-14T14:23:14"/>
    <x v="0"/>
    <x v="0"/>
  </r>
  <r>
    <x v="108"/>
    <x v="9"/>
    <x v="2"/>
    <x v="41"/>
    <s v="https://cdn.renodepot.com/images/63868446_L.jpg_x000a_https://cdn.renodepot.com/images/63868446_L.jpg"/>
    <x v="5"/>
    <x v="5"/>
    <s v="#8 x 2&quot; Flat Head: 2&quot;, $0.07"/>
    <x v="0"/>
    <s v="#8 x 2&quot; Flat Head 2&quot;"/>
    <x v="108"/>
    <x v="1"/>
    <x v="12"/>
    <x v="5"/>
    <x v="0"/>
    <n v="117"/>
    <d v="2023-08-14T15:14:31"/>
    <x v="0"/>
    <x v="0"/>
  </r>
  <r>
    <x v="109"/>
    <x v="6"/>
    <x v="2"/>
    <x v="50"/>
    <s v="https://www.bmr.ca/media/catalog/product/cache/dbd4d66e0218ad08feb3e29c5f000568/2/7/279-1249_001_1.jpg_x000a_https://www.bmr.ca/media/catalog/product/cache/dbd4d66e0218ad08feb3e29c5f000568/2/7/279-1249_001_1.jpg"/>
    <x v="5"/>
    <x v="6"/>
    <s v="-#8 x 2 1/2&quot; Flat Head: 2 1/2&quot;, $0.09"/>
    <x v="0"/>
    <s v="#8 x 2 1/2&quot; Flat Head 2 1/2&quot;"/>
    <x v="109"/>
    <x v="1"/>
    <x v="13"/>
    <x v="5"/>
    <x v="0"/>
    <n v="118"/>
    <d v="2023-08-14T15:16:09"/>
    <x v="0"/>
    <x v="0"/>
  </r>
  <r>
    <x v="110"/>
    <x v="18"/>
    <x v="2"/>
    <x v="67"/>
    <s v="https://m.media-amazon.com/images/I/61ZgkhDt8xL._AC_UF894,,1000_QL80_.jpg_x000a_https://m.media-amazon.com/images/I/61ZgkhDt8xL._AC_UF894,1000_QL80_.jpg"/>
    <x v="10"/>
    <x v="6"/>
    <s v="-M6 pitch 1.00-18mm: 18mm, $0.23"/>
    <x v="0"/>
    <s v="M6 pitch 1.00-18mm 18mm"/>
    <x v="110"/>
    <x v="1"/>
    <x v="12"/>
    <x v="3"/>
    <x v="0"/>
    <n v="119"/>
    <d v="2023-08-14T15:18:14"/>
    <x v="0"/>
    <x v="0"/>
  </r>
  <r>
    <x v="111"/>
    <x v="52"/>
    <x v="2"/>
    <x v="68"/>
    <s v="https://5.imimg.com/data5/SELLER/Default/2023/7/323892148/IQ/SU/IV/63154967/stainless-steel-ch-head-machine-screw.jpg_x000a_https://5.imimg.com/data5/SELLER/Default/2023/7/323892148/IQ/SU/IV/63154967/stainless-steel-ch-head-machine-screw.jpg"/>
    <x v="5"/>
    <x v="6"/>
    <s v="-M6 pitch 1.00- 25mm: 25mm, $0.2"/>
    <x v="0"/>
    <s v="M6 pitch 1.00- 25mm 25mm"/>
    <x v="111"/>
    <x v="1"/>
    <x v="12"/>
    <x v="3"/>
    <x v="0"/>
    <n v="120"/>
    <d v="2023-08-14T15:20:38"/>
    <x v="0"/>
    <x v="0"/>
  </r>
  <r>
    <x v="112"/>
    <x v="53"/>
    <x v="16"/>
    <x v="42"/>
    <s v="https://m.media-amazon.com/images/I/61XTFo2DPAL._AC_UF894,,1000_QL80_.jpg_x000a_https://m.media-amazon.com/images/I/61XTFo2DPAL._AC_UF894,1000_QL80_.jpg"/>
    <x v="11"/>
    <x v="6"/>
    <s v="-1/4-20 x 3&quot; Hex Bolt: 3&quot;, $0.82"/>
    <x v="0"/>
    <s v="1/4-20 x 3&quot; Hex Bolt 3&quot;"/>
    <x v="112"/>
    <x v="1"/>
    <x v="14"/>
    <x v="7"/>
    <x v="0"/>
    <n v="121"/>
    <d v="2023-08-29T17:12:54"/>
    <x v="0"/>
    <x v="0"/>
  </r>
  <r>
    <x v="113"/>
    <x v="38"/>
    <x v="2"/>
    <x v="7"/>
    <m/>
    <x v="2"/>
    <x v="6"/>
    <s v="-6-32 x 1/4&quot; Oval Head: , $"/>
    <x v="0"/>
    <s v="6-32 x 1/4&quot; Oval Head "/>
    <x v="113"/>
    <x v="1"/>
    <x v="0"/>
    <x v="3"/>
    <x v="0"/>
    <n v="122"/>
    <d v="2024-05-31T16:09:38"/>
    <x v="0"/>
    <x v="0"/>
  </r>
  <r>
    <x v="114"/>
    <x v="38"/>
    <x v="2"/>
    <x v="7"/>
    <m/>
    <x v="2"/>
    <x v="6"/>
    <s v="-6-32 x 1/2&quot; Oval Head: , $"/>
    <x v="0"/>
    <s v="6-32 x 1/2&quot; Oval Head "/>
    <x v="114"/>
    <x v="1"/>
    <x v="0"/>
    <x v="3"/>
    <x v="0"/>
    <n v="123"/>
    <d v="2024-05-31T16:11:00"/>
    <x v="0"/>
    <x v="0"/>
  </r>
  <r>
    <x v="115"/>
    <x v="15"/>
    <x v="17"/>
    <x v="69"/>
    <s v="https://www.mcmaster.com/mvD/Contents/gfx/ImageCache/918/91802A148_c7b6b55a-b04f-4d30-914e-8eb5df60dae7@200p_638052384833958299.png?ver=ImageNotFound_x000a_https://www.mcmaster.com/mvD/Contents/gfx/ImageCache/918/91802A148_c7b6b55a-b04f-4d30-914e-8eb5df60dae7@200p_638052384833958299.png?ver=ImageNotFound"/>
    <x v="2"/>
    <x v="6"/>
    <s v="-6-32 x 3/4&quot; Oval Head: 91802A151, $0.08"/>
    <x v="0"/>
    <s v="6-32 x 3/4&quot; Oval Head 91802A151"/>
    <x v="115"/>
    <x v="3"/>
    <x v="15"/>
    <x v="3"/>
    <x v="0"/>
    <n v="124"/>
    <d v="2024-10-09T19:17:59"/>
    <x v="0"/>
    <x v="0"/>
  </r>
  <r>
    <x v="116"/>
    <x v="25"/>
    <x v="18"/>
    <x v="70"/>
    <s v="https://utoronto.sharepoint.com/sites/fase-myhalfabrication/Lists/SpecialtyHardware/DispForm.aspx?ID=124&amp;e=a5CcUv_x000a_https://utoronto.sharepoint.com/sites/fase-myhalfabrication/Lists/SpecialtyHardware/DispForm.aspx?ID=124&amp;e=a5CcUv"/>
    <x v="2"/>
    <x v="6"/>
    <s v="-10-32 x 3/4&quot; Oval Head: 91820A831, $0.16"/>
    <x v="0"/>
    <s v="10-32 x 3/4&quot; Oval Head 91820A831"/>
    <x v="116"/>
    <x v="3"/>
    <x v="15"/>
    <x v="3"/>
    <x v="0"/>
    <n v="125"/>
    <d v="2024-10-09T19:22:55"/>
    <x v="0"/>
    <x v="0"/>
  </r>
  <r>
    <x v="117"/>
    <x v="24"/>
    <x v="19"/>
    <x v="71"/>
    <s v="https://utoronto.sharepoint.com/sites/fase-myhalfabrication/Lists/SpecialtyHardware/DispForm.aspx?ID=125&amp;e=c3h24Z_x000a_https://utoronto.sharepoint.com/sites/fase-myhalfabrication/Lists/SpecialtyHardware/DispForm.aspx?ID=125&amp;e=c3h24Z"/>
    <x v="2"/>
    <x v="6"/>
    <s v="-10-32 x 1/2&quot; Oval Head: 91802A829, $0.13"/>
    <x v="0"/>
    <s v="10-32 x 1/2&quot; Oval Head 91802A829"/>
    <x v="117"/>
    <x v="3"/>
    <x v="15"/>
    <x v="3"/>
    <x v="0"/>
    <n v="126"/>
    <d v="2024-10-09T19:25:57"/>
    <x v="0"/>
    <x v="0"/>
  </r>
  <r>
    <x v="118"/>
    <x v="7"/>
    <x v="20"/>
    <x v="72"/>
    <s v="https://utoronto.sharepoint.com/sites/fase-myhalfabrication/Lists/SpecialtyHardware/DispForm.aspx?ID=126&amp;e=z38cbt_x000a_https://utoronto.sharepoint.com/sites/fase-myhalfabrication/Lists/SpecialtyHardware/DispForm.aspx?ID=126&amp;e=z38cbt"/>
    <x v="2"/>
    <x v="6"/>
    <s v="-8-32 x 3/4&quot; Oval Head: 91802A197, $0.12"/>
    <x v="0"/>
    <s v="8-32 x 3/4&quot; Oval Head 91802A197"/>
    <x v="118"/>
    <x v="3"/>
    <x v="15"/>
    <x v="3"/>
    <x v="0"/>
    <n v="127"/>
    <d v="2024-10-09T19:28:13"/>
    <x v="0"/>
    <x v="0"/>
  </r>
  <r>
    <x v="119"/>
    <x v="7"/>
    <x v="21"/>
    <x v="73"/>
    <m/>
    <x v="2"/>
    <x v="6"/>
    <s v="-M3 pitch 0.50- 16 mm: 16mm, $0.12"/>
    <x v="0"/>
    <s v="M3 pitch 0.50- 16 mm 16mm"/>
    <x v="119"/>
    <x v="2"/>
    <x v="4"/>
    <x v="3"/>
    <x v="0"/>
    <n v="128"/>
    <d v="2024-10-12T15:02:44"/>
    <x v="0"/>
    <x v="0"/>
  </r>
  <r>
    <x v="120"/>
    <x v="29"/>
    <x v="21"/>
    <x v="74"/>
    <m/>
    <x v="2"/>
    <x v="6"/>
    <s v="-M3 pitch 0.50 x 30mm: 30mm , $0.17"/>
    <x v="0"/>
    <s v="M3 pitch 0.50 x 30mm 30mm "/>
    <x v="120"/>
    <x v="2"/>
    <x v="4"/>
    <x v="3"/>
    <x v="0"/>
    <n v="129"/>
    <d v="2024-10-12T15:08:17"/>
    <x v="0"/>
    <x v="0"/>
  </r>
  <r>
    <x v="121"/>
    <x v="22"/>
    <x v="21"/>
    <x v="75"/>
    <m/>
    <x v="2"/>
    <x v="6"/>
    <s v="-M4 pitch 0.70 x 25mm: 25mm , $0.21"/>
    <x v="0"/>
    <s v="M4 pitch 0.70 x 25mm 25mm "/>
    <x v="121"/>
    <x v="3"/>
    <x v="4"/>
    <x v="3"/>
    <x v="0"/>
    <n v="130"/>
    <d v="2024-10-12T15:11:00"/>
    <x v="0"/>
    <x v="0"/>
  </r>
  <r>
    <x v="122"/>
    <x v="29"/>
    <x v="2"/>
    <x v="76"/>
    <s v="https://www.amazon.ca/gp/product/B07WCN5FGD/ref=ppx_yo_dt_b_search_asin_title_x000a_https://www.amazon.ca/gp/product/B07WCN5FGD/ref=ppx_yo_dt_b_search_asin_title"/>
    <x v="0"/>
    <x v="6"/>
    <s v="-Neodymium Magnet: Round 6mm Diameter. 3 mm thick, $0.17"/>
    <x v="0"/>
    <s v="Neodymium Magnet Round 6mm Diameter. 3 mm thick"/>
    <x v="122"/>
    <x v="1"/>
    <x v="0"/>
    <x v="1"/>
    <x v="0"/>
    <n v="131"/>
    <d v="2024-11-25T14:31:41"/>
    <x v="0"/>
    <x v="0"/>
  </r>
  <r>
    <x v="123"/>
    <x v="0"/>
    <x v="22"/>
    <x v="7"/>
    <s v="https://www.mcmaster.com/mvD/Contents/gfx/ImageCache/905/90591A151p1-b01-digitall@2x_636713274634940000.png?ver=ImageNotFound_x000a_https://www.mcmaster.com/mvD/Contents/gfx/ImageCache/905/90591A151p1-b01-digitall@2x_636713274634940000.png?ver=ImageNotFound"/>
    <x v="2"/>
    <x v="6"/>
    <s v="-Hex Nut M6 x pitch 1 mm: , $0.05"/>
    <x v="0"/>
    <s v="Hex Nut M6 x pitch 1 mm "/>
    <x v="123"/>
    <x v="3"/>
    <x v="0"/>
    <x v="4"/>
    <x v="0"/>
    <n v="132"/>
    <d v="2024-12-18T11:51:10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5">
  <r>
    <n v="6"/>
    <x v="0"/>
    <d v="2021-08-24T10:57:50"/>
    <x v="0"/>
    <x v="0"/>
    <n v="2.72"/>
    <s v="https://media.digikey.com/Photos/Chip%20Quik%20Photos/MFG_SBB1005-1.jpg_x000a_https://media.digikey.com/Photos/Chip%20Quik%20Photos/MFG_SBB1005-1.jpg"/>
    <x v="0"/>
    <x v="0"/>
    <n v="10"/>
    <s v="6 MECHATRONICS"/>
    <x v="0"/>
    <x v="0"/>
    <x v="0"/>
    <x v="0"/>
    <x v="0"/>
    <x v="0"/>
  </r>
  <r>
    <n v="7"/>
    <x v="1"/>
    <d v="2021-08-24T11:00:00"/>
    <x v="0"/>
    <x v="0"/>
    <n v="4.6100000000000003"/>
    <s v="https://media.digikey.com/Photos/Chip%20Quik%20Photos/MFG_SBB1605-1.jpg_x000a_https://media.digikey.com/Photos/Chip%20Quik%20Photos/MFG_SBB1605-1.jpg"/>
    <x v="0"/>
    <x v="1"/>
    <n v="10"/>
    <s v="7 MECHATRONICS"/>
    <x v="1"/>
    <x v="0"/>
    <x v="1"/>
    <x v="0"/>
    <x v="0"/>
    <x v="0"/>
  </r>
  <r>
    <n v="9"/>
    <x v="2"/>
    <d v="2021-08-24T11:04:44"/>
    <x v="0"/>
    <x v="0"/>
    <n v="0.21"/>
    <s v="https://secure.sayal.com/images_tnx/TNX_WBA-1795.JPG_x000a_"/>
    <x v="0"/>
    <x v="2"/>
    <n v="200"/>
    <s v="9 MECHATRONICS"/>
    <x v="2"/>
    <x v="0"/>
    <x v="2"/>
    <x v="1"/>
    <x v="0"/>
    <x v="0"/>
  </r>
  <r>
    <n v="10"/>
    <x v="3"/>
    <d v="2021-08-24T11:07:11"/>
    <x v="0"/>
    <x v="0"/>
    <n v="0.33"/>
    <s v="https://i0.wp.com/componentstree.com/wp-content/uploads/2021/04/Single-Strand-Hookup-Wires-e1689164575194.webp?fit=800%2C800&amp;ssl=1_x000a_"/>
    <x v="0"/>
    <x v="3"/>
    <n v="500"/>
    <s v="10 MECHATRONICS"/>
    <x v="3"/>
    <x v="0"/>
    <x v="3"/>
    <x v="1"/>
    <x v="0"/>
    <x v="0"/>
  </r>
  <r>
    <n v="11"/>
    <x v="4"/>
    <d v="2021-08-24T11:12:22"/>
    <x v="0"/>
    <x v="0"/>
    <n v="1.21"/>
    <s v="https://canada.newark.com/productimages/standard/en_US/20X1009-40.jpg_x000a_"/>
    <x v="0"/>
    <x v="4"/>
    <n v="182"/>
    <s v="11 MECHATRONICS"/>
    <x v="4"/>
    <x v="0"/>
    <x v="4"/>
    <x v="1"/>
    <x v="0"/>
    <x v="0"/>
  </r>
  <r>
    <n v="12"/>
    <x v="5"/>
    <d v="2021-08-24T11:14:46"/>
    <x v="0"/>
    <x v="0"/>
    <n v="1.18"/>
    <s v="https://canada.newark.com/productimages/standard/en_US/34P9355-40.jpg_x000a_"/>
    <x v="0"/>
    <x v="5"/>
    <n v="24"/>
    <s v="12 MECHATRONICS"/>
    <x v="5"/>
    <x v="0"/>
    <x v="5"/>
    <x v="2"/>
    <x v="0"/>
    <x v="0"/>
  </r>
  <r>
    <n v="13"/>
    <x v="6"/>
    <d v="2021-08-24T11:16:21"/>
    <x v="0"/>
    <x v="0"/>
    <n v="2"/>
    <s v="https://www.mouser.ca/images/stmicroelectronics/images/TO_220_3_t.jpg_x000a_"/>
    <x v="1"/>
    <x v="6"/>
    <n v="200"/>
    <s v="13 MECHATRONICS"/>
    <x v="6"/>
    <x v="0"/>
    <x v="6"/>
    <x v="1"/>
    <x v="0"/>
    <x v="0"/>
  </r>
  <r>
    <n v="15"/>
    <x v="7"/>
    <d v="2021-08-24T11:20:15"/>
    <x v="0"/>
    <x v="0"/>
    <n v="4.74"/>
    <s v="https://media.digikey.com/Photos/TE%20Connectivity/MT2-AXICOM.jpg_x000a_"/>
    <x v="2"/>
    <x v="7"/>
    <n v="118"/>
    <s v="15 MECHATRONICS"/>
    <x v="7"/>
    <x v="0"/>
    <x v="7"/>
    <x v="1"/>
    <x v="0"/>
    <x v="0"/>
  </r>
  <r>
    <n v="18"/>
    <x v="8"/>
    <d v="2021-08-24T11:34:57"/>
    <x v="0"/>
    <x v="0"/>
    <n v="2.1"/>
    <s v="https://m.media-amazon.com/images/I/51T0gJpBMsL.jpg_x000a_"/>
    <x v="2"/>
    <x v="8"/>
    <n v="200"/>
    <s v="18 MECHATRONICS"/>
    <x v="8"/>
    <x v="0"/>
    <x v="8"/>
    <x v="1"/>
    <x v="0"/>
    <x v="0"/>
  </r>
  <r>
    <n v="21"/>
    <x v="9"/>
    <d v="2021-08-24T11:41:22"/>
    <x v="0"/>
    <x v="0"/>
    <n v="0.19"/>
    <s v="https://media.digikey.com/Renders/Vishay%20Semi%20Renders/112;DO204AL,,DO-41;;2.jpg_x000a_"/>
    <x v="2"/>
    <x v="9"/>
    <n v="2000"/>
    <s v="21 MECHATRONICS"/>
    <x v="9"/>
    <x v="0"/>
    <x v="9"/>
    <x v="1"/>
    <x v="0"/>
    <x v="0"/>
  </r>
  <r>
    <n v="31"/>
    <x v="10"/>
    <d v="2021-08-24T12:00:58"/>
    <x v="0"/>
    <x v="0"/>
    <n v="2.2200000000000002"/>
    <s v="https://www.mouser.ca/images/adi/images/ITP_ADI_TO-92-3_T-3-1_t.jpg_x000a_"/>
    <x v="3"/>
    <x v="10"/>
    <n v="70"/>
    <s v="31 MECHATRONICS"/>
    <x v="10"/>
    <x v="0"/>
    <x v="10"/>
    <x v="1"/>
    <x v="0"/>
    <x v="0"/>
  </r>
  <r>
    <n v="40"/>
    <x v="11"/>
    <d v="2021-08-24T12:39:17"/>
    <x v="0"/>
    <x v="0"/>
    <n v="0.35"/>
    <s v="https://media.digikey.com/Photos/Everlight%20Electronics/MV5754A.JPG_x000a_"/>
    <x v="2"/>
    <x v="11"/>
    <n v="340"/>
    <s v="40 MECHATRONICS"/>
    <x v="11"/>
    <x v="0"/>
    <x v="11"/>
    <x v="1"/>
    <x v="0"/>
    <x v="0"/>
  </r>
  <r>
    <n v="43"/>
    <x v="12"/>
    <d v="2021-09-16T16:56:41"/>
    <x v="0"/>
    <x v="0"/>
    <n v="0.33"/>
    <s v="https://media.digikey.com/Photos/Daburn%20Elect.%20Photos/HOOK-UP-SOLID-VIOLET.jpg_x000a_"/>
    <x v="0"/>
    <x v="12"/>
    <n v="100"/>
    <s v="43 MECHATRONICS"/>
    <x v="3"/>
    <x v="0"/>
    <x v="12"/>
    <x v="0"/>
    <x v="0"/>
    <x v="0"/>
  </r>
  <r>
    <n v="44"/>
    <x v="13"/>
    <d v="2021-09-16T16:58:33"/>
    <x v="0"/>
    <x v="0"/>
    <n v="0.33"/>
    <s v="https://mm.digikey.com/Volume0/opasdata/d220001/medias/images/4847/216_HOOK-UP-SOLID-YELLOW.jpg_x000a_"/>
    <x v="0"/>
    <x v="12"/>
    <n v="100"/>
    <s v="44 MECHATRONICS"/>
    <x v="3"/>
    <x v="0"/>
    <x v="13"/>
    <x v="1"/>
    <x v="0"/>
    <x v="0"/>
  </r>
  <r>
    <n v="45"/>
    <x v="14"/>
    <d v="2021-09-16T17:00:09"/>
    <x v="0"/>
    <x v="0"/>
    <n v="0.33"/>
    <s v="https://media.digikey.com/Photos/Daburn%20Elect.%20Photos/HOOK-UP-SOLID-BROWN.jpg_x000a_"/>
    <x v="0"/>
    <x v="12"/>
    <n v="100"/>
    <s v="45 MECHATRONICS"/>
    <x v="3"/>
    <x v="0"/>
    <x v="14"/>
    <x v="0"/>
    <x v="0"/>
    <x v="0"/>
  </r>
  <r>
    <n v="56"/>
    <x v="15"/>
    <d v="2021-09-24T14:03:17"/>
    <x v="0"/>
    <x v="0"/>
    <n v="0.19"/>
    <s v="https://cdn.sparkfun.com//assets/parts/2/5/5/7/09140-02-L.jpg_x000a_"/>
    <x v="0"/>
    <x v="12"/>
    <n v="1500"/>
    <s v="56 MECHATRONICS"/>
    <x v="9"/>
    <x v="0"/>
    <x v="15"/>
    <x v="1"/>
    <x v="0"/>
    <x v="0"/>
  </r>
  <r>
    <n v="57"/>
    <x v="16"/>
    <d v="2021-09-24T14:04:26"/>
    <x v="0"/>
    <x v="0"/>
    <n v="0.17"/>
    <s v="https://media.digikey.com/photos/Microchip%20Tech%20Photos/AC163029.JPG_x000a_"/>
    <x v="0"/>
    <x v="12"/>
    <n v="500"/>
    <s v="57 MECHATRONICS"/>
    <x v="12"/>
    <x v="0"/>
    <x v="16"/>
    <x v="1"/>
    <x v="0"/>
    <x v="0"/>
  </r>
  <r>
    <n v="58"/>
    <x v="17"/>
    <d v="2021-09-24T14:07:41"/>
    <x v="0"/>
    <x v="0"/>
    <n v="0.19"/>
    <s v="https://cdn.sparkfun.com//assets/parts/3/7/0/4/11026-Jumper_Wires_Standard_7in._M_M_-_30_AWG__30_Pack_-01.jpg_x000a_"/>
    <x v="0"/>
    <x v="12"/>
    <n v="2000"/>
    <s v="58 MECHATRONICS"/>
    <x v="9"/>
    <x v="0"/>
    <x v="17"/>
    <x v="1"/>
    <x v="0"/>
    <x v="0"/>
  </r>
  <r>
    <n v="59"/>
    <x v="18"/>
    <d v="2021-09-24T15:35:04"/>
    <x v="0"/>
    <x v="0"/>
    <n v="0.11"/>
    <s v="https://media.digikey.com/Photos/Alpha%20Wire%20Photos/216_HOOK-UP-SOLID-GREEN.jpg_x000a_https://media.digikey.com/Photos/Alpha%20Wire%20Photos/216_HOOK-UP-SOLID-GREEN.jpg"/>
    <x v="0"/>
    <x v="12"/>
    <n v="500"/>
    <s v="59 MECHATRONICS"/>
    <x v="13"/>
    <x v="0"/>
    <x v="18"/>
    <x v="1"/>
    <x v="0"/>
    <x v="0"/>
  </r>
  <r>
    <n v="60"/>
    <x v="19"/>
    <d v="2021-09-24T15:39:51"/>
    <x v="0"/>
    <x v="0"/>
    <n v="0.16"/>
    <s v="https://hcess.ca/wp-content/uploads/2021/04/HOOK-UP-SOLID-RED.jpg_x000a_"/>
    <x v="0"/>
    <x v="12"/>
    <n v="2000"/>
    <s v="60 MECHATRONICS"/>
    <x v="14"/>
    <x v="0"/>
    <x v="19"/>
    <x v="1"/>
    <x v="0"/>
    <x v="0"/>
  </r>
  <r>
    <n v="65"/>
    <x v="20"/>
    <d v="2021-10-27T10:54:48"/>
    <x v="0"/>
    <x v="0"/>
    <n v="1.1000000000000001"/>
    <s v="https://media.digikey.com/Photos/Wurth%20Electronics%20Photos/61302011121.JPG_x000a_"/>
    <x v="0"/>
    <x v="13"/>
    <n v="800"/>
    <s v="65 MECHATRONICS"/>
    <x v="15"/>
    <x v="0"/>
    <x v="20"/>
    <x v="1"/>
    <x v="0"/>
    <x v="0"/>
  </r>
  <r>
    <n v="73"/>
    <x v="21"/>
    <d v="2021-11-04T14:03:31"/>
    <x v="0"/>
    <x v="0"/>
    <n v="1.24"/>
    <s v="https://www.mouser.ca/images/stmicroelectronics/images/to-220.jpg_x000a_"/>
    <x v="1"/>
    <x v="14"/>
    <n v="5"/>
    <s v="73 MECHATRONICS"/>
    <x v="16"/>
    <x v="0"/>
    <x v="21"/>
    <x v="2"/>
    <x v="0"/>
    <x v="0"/>
  </r>
  <r>
    <n v="75"/>
    <x v="22"/>
    <d v="2021-11-04T14:50:48"/>
    <x v="0"/>
    <x v="0"/>
    <n v="1.47"/>
    <s v="https://media.digikey.com/Renders/STMicro%20Renders/497~TO220-3TO220AB~~3.JPG_x000a_"/>
    <x v="1"/>
    <x v="15"/>
    <n v="5"/>
    <s v="75 MECHATRONICS"/>
    <x v="17"/>
    <x v="0"/>
    <x v="22"/>
    <x v="2"/>
    <x v="0"/>
    <x v="0"/>
  </r>
  <r>
    <n v="78"/>
    <x v="23"/>
    <d v="2021-11-06T11:15:58"/>
    <x v="0"/>
    <x v="0"/>
    <n v="7.0000000000000007E-2"/>
    <s v="https://mainframecustom.com/wp-content/uploads/2014/10/2pin-Dupont-1.jpg_x000a_"/>
    <x v="0"/>
    <x v="12"/>
    <m/>
    <s v="78 MECHATRONICS"/>
    <x v="18"/>
    <x v="0"/>
    <x v="23"/>
    <x v="1"/>
    <x v="0"/>
    <x v="0"/>
  </r>
  <r>
    <n v="79"/>
    <x v="24"/>
    <d v="2021-11-06T11:18:47"/>
    <x v="0"/>
    <x v="0"/>
    <n v="7.0000000000000007E-2"/>
    <s v="https://d3s11pzv7w3h1q.cloudfront.net/wp-content/uploads/CN-DU-H03.jpg_x000a_"/>
    <x v="0"/>
    <x v="12"/>
    <m/>
    <s v="79 MECHATRONICS"/>
    <x v="18"/>
    <x v="0"/>
    <x v="24"/>
    <x v="1"/>
    <x v="0"/>
    <x v="0"/>
  </r>
  <r>
    <n v="80"/>
    <x v="25"/>
    <d v="2021-11-06T11:19:52"/>
    <x v="0"/>
    <x v="0"/>
    <n v="7.0000000000000007E-2"/>
    <s v="https://dojft4652t1in.cloudfront.net/wp-content/uploads/CN-DU-H05.jpg_x000a_"/>
    <x v="0"/>
    <x v="12"/>
    <m/>
    <s v="80 MECHATRONICS"/>
    <x v="18"/>
    <x v="0"/>
    <x v="25"/>
    <x v="1"/>
    <x v="0"/>
    <x v="0"/>
  </r>
  <r>
    <n v="81"/>
    <x v="26"/>
    <d v="2021-11-06T11:20:52"/>
    <x v="0"/>
    <x v="0"/>
    <n v="7.0000000000000007E-2"/>
    <s v="https://dojft4652t1in.cloudfront.net/wp-content/uploads/CN-DU-H06.jpg_x000a_"/>
    <x v="0"/>
    <x v="12"/>
    <m/>
    <s v="81 MECHATRONICS"/>
    <x v="18"/>
    <x v="0"/>
    <x v="26"/>
    <x v="1"/>
    <x v="0"/>
    <x v="0"/>
  </r>
  <r>
    <n v="82"/>
    <x v="27"/>
    <d v="2021-11-06T11:22:32"/>
    <x v="0"/>
    <x v="0"/>
    <n v="7.0000000000000007E-2"/>
    <s v="https://ae01.alicdn.com/kf/HTB1az_LwkKWBuNjy1zjq6AOypXa1/50PCS-High-Quality-2-54mm-7P-Dupont-Housing-Plastic-Shell-7-Pin-Dupont-Connector-Dupont-Jumper.jpg_Q90.jpg_.webp_x000a_"/>
    <x v="0"/>
    <x v="12"/>
    <m/>
    <s v="82 MECHATRONICS"/>
    <x v="18"/>
    <x v="0"/>
    <x v="27"/>
    <x v="1"/>
    <x v="0"/>
    <x v="0"/>
  </r>
  <r>
    <n v="83"/>
    <x v="28"/>
    <d v="2021-11-06T11:23:19"/>
    <x v="0"/>
    <x v="0"/>
    <n v="7.0000000000000007E-2"/>
    <s v="https://d3s11pzv7w3h1q.cloudfront.net/wp-content/uploads/CN-DU-H08.jpg_x000a_"/>
    <x v="0"/>
    <x v="12"/>
    <m/>
    <s v="83 MECHATRONICS"/>
    <x v="18"/>
    <x v="0"/>
    <x v="28"/>
    <x v="1"/>
    <x v="0"/>
    <x v="0"/>
  </r>
  <r>
    <n v="84"/>
    <x v="29"/>
    <d v="2021-11-06T11:24:49"/>
    <x v="0"/>
    <x v="0"/>
    <n v="7.0000000000000007E-2"/>
    <s v="https://d21d43znxvr466.cloudfront.net/wp-content/uploads/CN-DU-H09.jpg_x000a_"/>
    <x v="0"/>
    <x v="12"/>
    <m/>
    <s v="84 MECHATRONICS"/>
    <x v="18"/>
    <x v="0"/>
    <x v="29"/>
    <x v="1"/>
    <x v="0"/>
    <x v="0"/>
  </r>
  <r>
    <n v="85"/>
    <x v="30"/>
    <d v="2021-11-06T11:25:40"/>
    <x v="0"/>
    <x v="0"/>
    <n v="7.0000000000000007E-2"/>
    <s v="https://dojft4652t1in.cloudfront.net/wp-content/uploads/CN-DU-H10.jpg_x000a_"/>
    <x v="0"/>
    <x v="12"/>
    <m/>
    <s v="85 MECHATRONICS"/>
    <x v="18"/>
    <x v="0"/>
    <x v="30"/>
    <x v="1"/>
    <x v="0"/>
    <x v="0"/>
  </r>
  <r>
    <n v="86"/>
    <x v="31"/>
    <d v="2021-11-06T11:42:11"/>
    <x v="0"/>
    <x v="0"/>
    <n v="0.44"/>
    <s v="https://www.futurlec.com/Pictures/Package/ARDHEAD4_200.jpg_x000a_"/>
    <x v="0"/>
    <x v="12"/>
    <n v="70"/>
    <s v="86 MECHATRONICS"/>
    <x v="19"/>
    <x v="0"/>
    <x v="31"/>
    <x v="1"/>
    <x v="0"/>
    <x v="0"/>
  </r>
  <r>
    <n v="87"/>
    <x v="32"/>
    <d v="2021-11-06T11:43:04"/>
    <x v="0"/>
    <x v="0"/>
    <n v="0.12"/>
    <s v="http://cdn.shopify.com/s/files/1/0915/1182/products/09280-1_600x.jpg?v=1473879125_x000a_"/>
    <x v="0"/>
    <x v="12"/>
    <n v="35"/>
    <s v="87 MECHATRONICS"/>
    <x v="20"/>
    <x v="0"/>
    <x v="32"/>
    <x v="1"/>
    <x v="0"/>
    <x v="0"/>
  </r>
  <r>
    <n v="88"/>
    <x v="33"/>
    <d v="2021-11-06T11:48:32"/>
    <x v="0"/>
    <x v="0"/>
    <n v="0.2"/>
    <s v="https://images-na.ssl-images-amazon.com/images/I/51ReUgFXBCL._AC_SY355_.jpg_x000a_"/>
    <x v="0"/>
    <x v="12"/>
    <n v="400"/>
    <s v="88 MECHATRONICS"/>
    <x v="21"/>
    <x v="0"/>
    <x v="33"/>
    <x v="1"/>
    <x v="0"/>
    <x v="0"/>
  </r>
  <r>
    <n v="89"/>
    <x v="34"/>
    <d v="2021-11-06T11:49:14"/>
    <x v="0"/>
    <x v="0"/>
    <n v="0.42"/>
    <s v="https://sc02.alicdn.com/kf/Hecf90214385e4cb8a44590b95b93ef49B/240501450/Hecf90214385e4cb8a44590b95b93ef49B.jpg_.webp_x000a_"/>
    <x v="0"/>
    <x v="12"/>
    <n v="150"/>
    <s v="89 MECHATRONICS"/>
    <x v="22"/>
    <x v="0"/>
    <x v="34"/>
    <x v="1"/>
    <x v="0"/>
    <x v="0"/>
  </r>
  <r>
    <n v="90"/>
    <x v="35"/>
    <d v="2021-11-06T11:54:21"/>
    <x v="0"/>
    <x v="0"/>
    <n v="0.45"/>
    <s v="https://ae01.alicdn.com/kf/HTB1lP_VGFXXXXajXVXXq6xXFXXXz/122158055/HTB1lP_VGFXXXXajXVXXq6xXFXXXz.jpg_x000a_"/>
    <x v="0"/>
    <x v="12"/>
    <m/>
    <s v="90 MECHATRONICS"/>
    <x v="23"/>
    <x v="0"/>
    <x v="35"/>
    <x v="1"/>
    <x v="0"/>
    <x v="0"/>
  </r>
  <r>
    <n v="91"/>
    <x v="36"/>
    <d v="2021-11-06T11:56:45"/>
    <x v="0"/>
    <x v="0"/>
    <n v="0.83"/>
    <s v="https://ae01.alicdn.com/kf/HTB1dCH5MXXXXXbYXFXXq6xXFXXXG/10Ssets-Micro-JST-1-25-6-Pin-Male-Female-Connector-plug-150mm-Wires-Cables.jpg_x000a_"/>
    <x v="0"/>
    <x v="12"/>
    <m/>
    <s v="91 MECHATRONICS"/>
    <x v="24"/>
    <x v="0"/>
    <x v="36"/>
    <x v="1"/>
    <x v="0"/>
    <x v="0"/>
  </r>
  <r>
    <n v="94"/>
    <x v="37"/>
    <d v="2021-11-06T12:04:09"/>
    <x v="0"/>
    <x v="0"/>
    <n v="0.89"/>
    <s v="https://makerbazar.in/cdn/shop/products/1-dc-female-power-connector-plug-jack-for-12v-adapter-female_389x.jpg?v=1642668429_x000a_https://makerbazar.in/cdn/shop/products/1-dc-female-power-connector-plug-jack-for-12v-adapter-female_389x.jpg?v=1642668429"/>
    <x v="0"/>
    <x v="12"/>
    <n v="20"/>
    <s v="94 MECHATRONICS"/>
    <x v="25"/>
    <x v="0"/>
    <x v="37"/>
    <x v="1"/>
    <x v="0"/>
    <x v="0"/>
  </r>
  <r>
    <n v="95"/>
    <x v="38"/>
    <d v="2021-11-06T12:04:45"/>
    <x v="0"/>
    <x v="0"/>
    <n v="0.89"/>
    <s v="https://cdn11.bigcommerce.com/s-g2o7t0ov4m/images/stencil/500x659/products/975/10704/001_1__46089.1599590688.jpg?c=2_x000a_"/>
    <x v="0"/>
    <x v="12"/>
    <n v="20"/>
    <s v="95 MECHATRONICS"/>
    <x v="25"/>
    <x v="0"/>
    <x v="38"/>
    <x v="1"/>
    <x v="0"/>
    <x v="0"/>
  </r>
  <r>
    <n v="96"/>
    <x v="39"/>
    <d v="2021-11-06T12:07:47"/>
    <x v="0"/>
    <x v="0"/>
    <m/>
    <s v="https://i5.walmartimages.com/asr/931f35fc-29ad-4a47-a596-d53df37a2376_1.875d61834c287161613f4b4fb496a246.jpeg?odnHeight=2000&amp;odnWidth=2000&amp;odnBg=ffffff_x000a_"/>
    <x v="0"/>
    <x v="12"/>
    <m/>
    <s v="96 MECHATRONICS"/>
    <x v="26"/>
    <x v="0"/>
    <x v="39"/>
    <x v="0"/>
    <x v="0"/>
    <x v="0"/>
  </r>
  <r>
    <n v="97"/>
    <x v="40"/>
    <d v="2021-11-06T12:10:41"/>
    <x v="0"/>
    <x v="0"/>
    <n v="1.45"/>
    <s v="https://secomms.com.au/wp-content/uploads/2016/12/tp004-310x310.jpg_x000a_"/>
    <x v="0"/>
    <x v="12"/>
    <n v="80"/>
    <s v="97 MECHATRONICS"/>
    <x v="27"/>
    <x v="0"/>
    <x v="40"/>
    <x v="2"/>
    <x v="0"/>
    <x v="0"/>
  </r>
  <r>
    <n v="103"/>
    <x v="41"/>
    <d v="2021-11-07T10:25:47"/>
    <x v="0"/>
    <x v="0"/>
    <n v="0.12"/>
    <s v="https://cdn.shopify.com/s/files/1/0174/1800/products/ctc_2_5mmradmlcc.jpg?v=1380728784_x000a_"/>
    <x v="4"/>
    <x v="12"/>
    <n v="1000"/>
    <s v="103 MECHATRONICS"/>
    <x v="20"/>
    <x v="0"/>
    <x v="41"/>
    <x v="1"/>
    <x v="0"/>
    <x v="0"/>
  </r>
  <r>
    <n v="111"/>
    <x v="42"/>
    <d v="2021-11-07T11:23:04"/>
    <x v="0"/>
    <x v="0"/>
    <n v="0.89"/>
    <s v="https://secure.sayal.com/images_tnx/TNX_TO218.JPG_x000a_"/>
    <x v="2"/>
    <x v="16"/>
    <n v="357"/>
    <s v="111 MECHATRONICS"/>
    <x v="25"/>
    <x v="0"/>
    <x v="42"/>
    <x v="1"/>
    <x v="0"/>
    <x v="0"/>
  </r>
  <r>
    <n v="112"/>
    <x v="43"/>
    <d v="2021-11-11T16:52:48"/>
    <x v="0"/>
    <x v="0"/>
    <n v="0.71"/>
    <s v="https://www.mouser.ca/images/stmicroelectronics/lrg/to-220.jpg_x000a_"/>
    <x v="1"/>
    <x v="17"/>
    <n v="500"/>
    <s v="112 MECHATRONICS"/>
    <x v="28"/>
    <x v="0"/>
    <x v="43"/>
    <x v="1"/>
    <x v="0"/>
    <x v="0"/>
  </r>
  <r>
    <n v="113"/>
    <x v="44"/>
    <d v="2021-11-22T15:26:17"/>
    <x v="0"/>
    <x v="0"/>
    <n v="2.4900000000000002"/>
    <s v="https://mm.digikey.com/Volume0/opasdata/d220001/derivates/6/003/220/200/COUPLER-5MM8MM-FLEX_web%28640x640%29.jpg_x000a_https://mm.digikey.com/Volume0/opasdata/d220001/derivates/6/003/220/200/COUPLER-5MM8MM-FLEX_web%28640x640%29.jpg"/>
    <x v="5"/>
    <x v="12"/>
    <n v="7"/>
    <s v="113 MECHATRONICS"/>
    <x v="29"/>
    <x v="0"/>
    <x v="44"/>
    <x v="2"/>
    <x v="0"/>
    <x v="0"/>
  </r>
  <r>
    <n v="119"/>
    <x v="45"/>
    <d v="2022-01-03T14:43:18"/>
    <x v="0"/>
    <x v="0"/>
    <n v="0.01"/>
    <s v="https://media.digikey.com/Renders/Stackpole%20Renders/CF%20220.jpg_x000a_"/>
    <x v="6"/>
    <x v="18"/>
    <n v="5000"/>
    <s v="119 MECHATRONICS"/>
    <x v="30"/>
    <x v="0"/>
    <x v="45"/>
    <x v="1"/>
    <x v="0"/>
    <x v="0"/>
  </r>
  <r>
    <n v="120"/>
    <x v="46"/>
    <d v="2022-01-03T14:45:01"/>
    <x v="0"/>
    <x v="0"/>
    <n v="0.01"/>
    <s v="https://media.digikey.com/Renders/Stackpole%20Renders/CF%20330.jpg_x000a_"/>
    <x v="6"/>
    <x v="18"/>
    <n v="5000"/>
    <s v="120 MECHATRONICS"/>
    <x v="30"/>
    <x v="0"/>
    <x v="46"/>
    <x v="1"/>
    <x v="0"/>
    <x v="0"/>
  </r>
  <r>
    <n v="121"/>
    <x v="47"/>
    <d v="2022-01-03T14:46:32"/>
    <x v="0"/>
    <x v="0"/>
    <n v="0.01"/>
    <s v="https://media.digikey.com/Renders/Stackpole%20Renders/CF%201k.jpg_x000a_"/>
    <x v="6"/>
    <x v="18"/>
    <n v="5000"/>
    <s v="121 MECHATRONICS"/>
    <x v="30"/>
    <x v="0"/>
    <x v="47"/>
    <x v="1"/>
    <x v="0"/>
    <x v="0"/>
  </r>
  <r>
    <n v="122"/>
    <x v="48"/>
    <d v="2022-01-03T14:47:52"/>
    <x v="0"/>
    <x v="0"/>
    <n v="0.01"/>
    <s v="https://media.digikey.com/Renders/Stackpole%20Renders/CF%202k.jpg_x000a_"/>
    <x v="6"/>
    <x v="18"/>
    <n v="5000"/>
    <s v="122 MECHATRONICS"/>
    <x v="30"/>
    <x v="0"/>
    <x v="48"/>
    <x v="1"/>
    <x v="0"/>
    <x v="0"/>
  </r>
  <r>
    <n v="123"/>
    <x v="49"/>
    <d v="2022-01-03T14:49:03"/>
    <x v="0"/>
    <x v="0"/>
    <n v="0.01"/>
    <s v="https://media.digikey.com/Renders/Stackpole%20Renders/CFMSeries%205-1k.jpg_x000a_"/>
    <x v="6"/>
    <x v="18"/>
    <n v="5000"/>
    <s v="123 MECHATRONICS"/>
    <x v="30"/>
    <x v="0"/>
    <x v="49"/>
    <x v="1"/>
    <x v="0"/>
    <x v="0"/>
  </r>
  <r>
    <n v="124"/>
    <x v="50"/>
    <d v="2022-01-03T14:50:18"/>
    <x v="0"/>
    <x v="0"/>
    <n v="0.01"/>
    <s v="https://media.digikey.com/Renders/Stackpole%20Renders/CF%2010k.jpg_x000a_"/>
    <x v="6"/>
    <x v="18"/>
    <n v="5000"/>
    <s v="124 MECHATRONICS"/>
    <x v="30"/>
    <x v="0"/>
    <x v="50"/>
    <x v="1"/>
    <x v="0"/>
    <x v="0"/>
  </r>
  <r>
    <n v="128"/>
    <x v="51"/>
    <d v="2022-02-01T09:56:26"/>
    <x v="0"/>
    <x v="0"/>
    <n v="0.5"/>
    <s v="https://cdn.sparkfun.com//assets/parts/1/1/0/00121-02.jpg_x000a_"/>
    <x v="2"/>
    <x v="19"/>
    <n v="481"/>
    <s v="128 MECHATRONICS"/>
    <x v="31"/>
    <x v="0"/>
    <x v="51"/>
    <x v="1"/>
    <x v="0"/>
    <x v="0"/>
  </r>
  <r>
    <n v="157"/>
    <x v="52"/>
    <d v="2022-03-15T10:33:34"/>
    <x v="0"/>
    <x v="0"/>
    <n v="0.89"/>
    <s v="https://sigma.octopart.com/10047968/image/ON-Semiconductor-LM358N.jpg_x000a_"/>
    <x v="2"/>
    <x v="20"/>
    <n v="66"/>
    <s v="157 MECHATRONICS"/>
    <x v="25"/>
    <x v="0"/>
    <x v="52"/>
    <x v="3"/>
    <x v="1"/>
    <x v="0"/>
  </r>
  <r>
    <n v="181"/>
    <x v="53"/>
    <d v="2022-03-21T13:20:11"/>
    <x v="0"/>
    <x v="0"/>
    <n v="0.86"/>
    <s v="https://canada.newark.com/productimages/standard/en_US/5092597.jpg_x000a_"/>
    <x v="2"/>
    <x v="21"/>
    <n v="430"/>
    <s v="181 MECHATRONICS"/>
    <x v="32"/>
    <x v="0"/>
    <x v="53"/>
    <x v="3"/>
    <x v="2"/>
    <x v="0"/>
  </r>
  <r>
    <n v="182"/>
    <x v="54"/>
    <d v="2022-03-21T15:23:54"/>
    <x v="0"/>
    <x v="0"/>
    <n v="0.86"/>
    <s v="https://canada.newark.com/productimages/standard/en_US/85R2851-40.jpg_x000a_"/>
    <x v="2"/>
    <x v="22"/>
    <n v="433"/>
    <s v="182 MECHATRONICS"/>
    <x v="32"/>
    <x v="0"/>
    <x v="54"/>
    <x v="3"/>
    <x v="3"/>
    <x v="0"/>
  </r>
  <r>
    <n v="194"/>
    <x v="55"/>
    <d v="2022-07-14T11:30:10"/>
    <x v="0"/>
    <x v="0"/>
    <n v="0.86"/>
    <s v="https://canada.newark.com/productimages/standard/en_US/34M6427-40.jpg_x000a_"/>
    <x v="7"/>
    <x v="23"/>
    <n v="500"/>
    <s v="194 MECHATRONICS"/>
    <x v="32"/>
    <x v="0"/>
    <x v="55"/>
    <x v="1"/>
    <x v="4"/>
    <x v="0"/>
  </r>
  <r>
    <n v="195"/>
    <x v="56"/>
    <d v="2022-09-01T13:00:08"/>
    <x v="0"/>
    <x v="0"/>
    <n v="0.19"/>
    <s v="https://m.media-amazon.com/images/I/51OXMquXZfL._AC_SL1053_.jpg_x000a_"/>
    <x v="2"/>
    <x v="24"/>
    <n v="5000"/>
    <s v="195 MECHATRONICS"/>
    <x v="9"/>
    <x v="0"/>
    <x v="56"/>
    <x v="1"/>
    <x v="5"/>
    <x v="0"/>
  </r>
  <r>
    <n v="224"/>
    <x v="57"/>
    <d v="2022-10-27T12:32:51"/>
    <x v="0"/>
    <x v="0"/>
    <n v="0.2"/>
    <s v="https://m.media-amazon.com/images/I/51MM8uojaWL._SX522_.jpg_x000a_https://m.media-amazon.com/images/I/51MM8uojaWL._SX522_.jpg"/>
    <x v="6"/>
    <x v="12"/>
    <n v="250"/>
    <s v="224 MECHATRONICS"/>
    <x v="21"/>
    <x v="0"/>
    <x v="57"/>
    <x v="1"/>
    <x v="6"/>
    <x v="0"/>
  </r>
  <r>
    <n v="225"/>
    <x v="58"/>
    <d v="2022-10-27T12:32:52"/>
    <x v="0"/>
    <x v="0"/>
    <n v="0.2"/>
    <s v="https://m.media-amazon.com/images/I/51MM8uojaWL._SX522_.jpg_x000a_https://m.media-amazon.com/images/I/51MM8uojaWL._SX522_.jpg"/>
    <x v="6"/>
    <x v="12"/>
    <n v="50"/>
    <s v="225 MECHATRONICS"/>
    <x v="21"/>
    <x v="0"/>
    <x v="58"/>
    <x v="1"/>
    <x v="6"/>
    <x v="0"/>
  </r>
  <r>
    <n v="226"/>
    <x v="59"/>
    <d v="2022-10-27T12:32:52"/>
    <x v="0"/>
    <x v="0"/>
    <n v="0.2"/>
    <s v="https://m.media-amazon.com/images/I/51MM8uojaWL._SX522_.jpg_x000a_https://m.media-amazon.com/images/I/51MM8uojaWL._SX522_.jpg"/>
    <x v="6"/>
    <x v="12"/>
    <n v="160"/>
    <s v="226 MECHATRONICS"/>
    <x v="21"/>
    <x v="0"/>
    <x v="59"/>
    <x v="1"/>
    <x v="6"/>
    <x v="0"/>
  </r>
  <r>
    <n v="227"/>
    <x v="60"/>
    <d v="2022-10-27T12:32:53"/>
    <x v="0"/>
    <x v="0"/>
    <n v="0.2"/>
    <s v="https://m.media-amazon.com/images/I/51MM8uojaWL._SX522_.jpg_x000a_https://m.media-amazon.com/images/I/51MM8uojaWL._SX522_.jpg"/>
    <x v="6"/>
    <x v="12"/>
    <n v="340"/>
    <s v="227 MECHATRONICS"/>
    <x v="21"/>
    <x v="0"/>
    <x v="60"/>
    <x v="1"/>
    <x v="6"/>
    <x v="0"/>
  </r>
  <r>
    <n v="228"/>
    <x v="61"/>
    <d v="2022-10-27T12:32:53"/>
    <x v="0"/>
    <x v="0"/>
    <n v="0.2"/>
    <s v="https://m.media-amazon.com/images/I/51MM8uojaWL._SX522_.jpg_x000a_https://m.media-amazon.com/images/I/51MM8uojaWL._SX522_.jpg"/>
    <x v="6"/>
    <x v="12"/>
    <n v="330"/>
    <s v="228 MECHATRONICS"/>
    <x v="21"/>
    <x v="0"/>
    <x v="61"/>
    <x v="1"/>
    <x v="6"/>
    <x v="0"/>
  </r>
  <r>
    <n v="229"/>
    <x v="62"/>
    <d v="2022-10-27T12:32:54"/>
    <x v="0"/>
    <x v="0"/>
    <n v="0.2"/>
    <s v="https://m.media-amazon.com/images/I/51MM8uojaWL._SX522_.jpg_x000a_https://m.media-amazon.com/images/I/51MM8uojaWL._SX522_.jpg"/>
    <x v="6"/>
    <x v="12"/>
    <n v="700"/>
    <s v="229 MECHATRONICS"/>
    <x v="21"/>
    <x v="0"/>
    <x v="62"/>
    <x v="1"/>
    <x v="6"/>
    <x v="0"/>
  </r>
  <r>
    <n v="230"/>
    <x v="63"/>
    <d v="2022-10-27T12:32:54"/>
    <x v="0"/>
    <x v="0"/>
    <n v="0.2"/>
    <s v="https://m.media-amazon.com/images/I/51MM8uojaWL._SX522_.jpg_x000a_https://m.media-amazon.com/images/I/51MM8uojaWL._SX522_.jpg"/>
    <x v="6"/>
    <x v="12"/>
    <n v="150"/>
    <s v="230 MECHATRONICS"/>
    <x v="21"/>
    <x v="0"/>
    <x v="63"/>
    <x v="1"/>
    <x v="6"/>
    <x v="0"/>
  </r>
  <r>
    <n v="231"/>
    <x v="64"/>
    <d v="2022-10-27T12:32:54"/>
    <x v="0"/>
    <x v="0"/>
    <n v="0.2"/>
    <s v="https://m.media-amazon.com/images/I/51MM8uojaWL._SX522_.jpg_x000a_https://m.media-amazon.com/images/I/51MM8uojaWL._SX522_.jpg"/>
    <x v="6"/>
    <x v="12"/>
    <n v="200"/>
    <s v="231 MECHATRONICS"/>
    <x v="21"/>
    <x v="0"/>
    <x v="64"/>
    <x v="1"/>
    <x v="6"/>
    <x v="0"/>
  </r>
  <r>
    <n v="232"/>
    <x v="65"/>
    <d v="2022-10-27T12:32:55"/>
    <x v="0"/>
    <x v="0"/>
    <n v="0.2"/>
    <s v="https://m.media-amazon.com/images/I/51MM8uojaWL._SX522_.jpg_x000a_https://m.media-amazon.com/images/I/51MM8uojaWL._SX522_.jpg"/>
    <x v="6"/>
    <x v="12"/>
    <n v="300"/>
    <s v="232 MECHATRONICS"/>
    <x v="21"/>
    <x v="0"/>
    <x v="65"/>
    <x v="1"/>
    <x v="6"/>
    <x v="0"/>
  </r>
  <r>
    <n v="233"/>
    <x v="66"/>
    <d v="2022-10-27T12:32:55"/>
    <x v="0"/>
    <x v="0"/>
    <n v="0.2"/>
    <s v="https://m.media-amazon.com/images/I/51MM8uojaWL._SX522_.jpg_x000a_https://m.media-amazon.com/images/I/51MM8uojaWL._SX522_.jpg"/>
    <x v="6"/>
    <x v="12"/>
    <n v="250"/>
    <s v="233 MECHATRONICS"/>
    <x v="21"/>
    <x v="0"/>
    <x v="66"/>
    <x v="1"/>
    <x v="6"/>
    <x v="0"/>
  </r>
  <r>
    <n v="234"/>
    <x v="67"/>
    <d v="2022-10-27T12:32:56"/>
    <x v="0"/>
    <x v="0"/>
    <n v="0.2"/>
    <s v="https://m.media-amazon.com/images/I/51MM8uojaWL._SX522_.jpg_x000a_https://m.media-amazon.com/images/I/51MM8uojaWL._SX522_.jpg"/>
    <x v="6"/>
    <x v="12"/>
    <n v="300"/>
    <s v="234 MECHATRONICS"/>
    <x v="21"/>
    <x v="0"/>
    <x v="67"/>
    <x v="1"/>
    <x v="6"/>
    <x v="0"/>
  </r>
  <r>
    <n v="235"/>
    <x v="68"/>
    <d v="2022-10-27T12:32:56"/>
    <x v="0"/>
    <x v="0"/>
    <n v="0.2"/>
    <s v="https://m.media-amazon.com/images/I/51MM8uojaWL._SX522_.jpg_x000a_https://m.media-amazon.com/images/I/51MM8uojaWL._SX522_.jpg"/>
    <x v="6"/>
    <x v="12"/>
    <n v="250"/>
    <s v="235 MECHATRONICS"/>
    <x v="21"/>
    <x v="0"/>
    <x v="68"/>
    <x v="1"/>
    <x v="6"/>
    <x v="0"/>
  </r>
  <r>
    <n v="236"/>
    <x v="69"/>
    <d v="2022-10-27T12:32:56"/>
    <x v="0"/>
    <x v="0"/>
    <n v="0.2"/>
    <s v="https://m.media-amazon.com/images/I/51MM8uojaWL._SX522_.jpg_x000a_https://m.media-amazon.com/images/I/51MM8uojaWL._SX522_.jpg"/>
    <x v="6"/>
    <x v="12"/>
    <n v="240"/>
    <s v="236 MECHATRONICS"/>
    <x v="21"/>
    <x v="0"/>
    <x v="69"/>
    <x v="1"/>
    <x v="6"/>
    <x v="0"/>
  </r>
  <r>
    <n v="237"/>
    <x v="70"/>
    <d v="2022-10-27T12:32:57"/>
    <x v="0"/>
    <x v="0"/>
    <n v="0.2"/>
    <s v="https://m.media-amazon.com/images/I/51MM8uojaWL._SX522_.jpg_x000a_https://m.media-amazon.com/images/I/51MM8uojaWL._SX522_.jpg"/>
    <x v="6"/>
    <x v="12"/>
    <n v="250"/>
    <s v="237 MECHATRONICS"/>
    <x v="21"/>
    <x v="0"/>
    <x v="70"/>
    <x v="1"/>
    <x v="6"/>
    <x v="0"/>
  </r>
  <r>
    <n v="238"/>
    <x v="71"/>
    <d v="2022-10-27T12:32:57"/>
    <x v="0"/>
    <x v="0"/>
    <n v="0.2"/>
    <s v="https://m.media-amazon.com/images/I/51MM8uojaWL._SX522_.jpg_x000a_https://m.media-amazon.com/images/I/51MM8uojaWL._SX522_.jpg"/>
    <x v="6"/>
    <x v="12"/>
    <n v="250"/>
    <s v="238 MECHATRONICS"/>
    <x v="21"/>
    <x v="0"/>
    <x v="71"/>
    <x v="1"/>
    <x v="6"/>
    <x v="0"/>
  </r>
  <r>
    <n v="239"/>
    <x v="72"/>
    <d v="2022-10-27T12:32:58"/>
    <x v="0"/>
    <x v="0"/>
    <n v="0.2"/>
    <s v="https://m.media-amazon.com/images/I/51MM8uojaWL._SX522_.jpg_x000a_https://m.media-amazon.com/images/I/51MM8uojaWL._SX522_.jpg"/>
    <x v="6"/>
    <x v="12"/>
    <n v="250"/>
    <s v="239 MECHATRONICS"/>
    <x v="21"/>
    <x v="0"/>
    <x v="72"/>
    <x v="1"/>
    <x v="6"/>
    <x v="0"/>
  </r>
  <r>
    <n v="240"/>
    <x v="73"/>
    <d v="2022-10-27T12:32:59"/>
    <x v="0"/>
    <x v="0"/>
    <n v="0.2"/>
    <s v="https://m.media-amazon.com/images/I/51MM8uojaWL._SX522_.jpg_x000a_https://m.media-amazon.com/images/I/51MM8uojaWL._SX522_.jpg"/>
    <x v="6"/>
    <x v="12"/>
    <n v="250"/>
    <s v="240 MECHATRONICS"/>
    <x v="21"/>
    <x v="0"/>
    <x v="73"/>
    <x v="1"/>
    <x v="6"/>
    <x v="0"/>
  </r>
  <r>
    <n v="241"/>
    <x v="74"/>
    <d v="2022-10-27T12:32:58"/>
    <x v="0"/>
    <x v="0"/>
    <n v="0.2"/>
    <s v="https://m.media-amazon.com/images/I/51MM8uojaWL._SX522_.jpg_x000a_https://m.media-amazon.com/images/I/51MM8uojaWL._SX522_.jpg"/>
    <x v="6"/>
    <x v="12"/>
    <n v="300"/>
    <s v="241 MECHATRONICS"/>
    <x v="21"/>
    <x v="0"/>
    <x v="74"/>
    <x v="1"/>
    <x v="6"/>
    <x v="0"/>
  </r>
  <r>
    <n v="242"/>
    <x v="75"/>
    <d v="2022-10-27T12:32:59"/>
    <x v="0"/>
    <x v="0"/>
    <n v="0.2"/>
    <s v="https://m.media-amazon.com/images/I/51MM8uojaWL._SX522_.jpg_x000a_https://m.media-amazon.com/images/I/51MM8uojaWL._SX522_.jpg"/>
    <x v="6"/>
    <x v="12"/>
    <n v="2000"/>
    <s v="242 MECHATRONICS"/>
    <x v="21"/>
    <x v="0"/>
    <x v="75"/>
    <x v="1"/>
    <x v="6"/>
    <x v="0"/>
  </r>
  <r>
    <n v="243"/>
    <x v="76"/>
    <d v="2022-10-27T12:32:59"/>
    <x v="0"/>
    <x v="0"/>
    <n v="0.2"/>
    <s v="https://m.media-amazon.com/images/I/51MM8uojaWL._SX522_.jpg_x000a_https://m.media-amazon.com/images/I/51MM8uojaWL._SX522_.jpg"/>
    <x v="6"/>
    <x v="12"/>
    <n v="300"/>
    <s v="243 MECHATRONICS"/>
    <x v="21"/>
    <x v="0"/>
    <x v="76"/>
    <x v="1"/>
    <x v="6"/>
    <x v="0"/>
  </r>
  <r>
    <n v="244"/>
    <x v="77"/>
    <d v="2022-10-27T12:33:00"/>
    <x v="0"/>
    <x v="0"/>
    <n v="0.2"/>
    <s v="https://m.media-amazon.com/images/I/51MM8uojaWL._SX522_.jpg_x000a_https://m.media-amazon.com/images/I/51MM8uojaWL._SX522_.jpg"/>
    <x v="6"/>
    <x v="12"/>
    <n v="250"/>
    <s v="244 MECHATRONICS"/>
    <x v="21"/>
    <x v="0"/>
    <x v="77"/>
    <x v="1"/>
    <x v="6"/>
    <x v="0"/>
  </r>
  <r>
    <n v="245"/>
    <x v="78"/>
    <d v="2022-10-27T12:33:01"/>
    <x v="0"/>
    <x v="0"/>
    <n v="0.2"/>
    <s v="https://m.media-amazon.com/images/I/51MM8uojaWL._SX522_.jpg_x000a_https://m.media-amazon.com/images/I/51MM8uojaWL._SX522_.jpg"/>
    <x v="6"/>
    <x v="12"/>
    <n v="300"/>
    <s v="245 MECHATRONICS"/>
    <x v="21"/>
    <x v="0"/>
    <x v="78"/>
    <x v="1"/>
    <x v="6"/>
    <x v="0"/>
  </r>
  <r>
    <n v="246"/>
    <x v="79"/>
    <d v="2022-10-27T12:33:00"/>
    <x v="0"/>
    <x v="0"/>
    <n v="0.2"/>
    <s v="https://m.media-amazon.com/images/I/51MM8uojaWL._SX522_.jpg_x000a_https://m.media-amazon.com/images/I/51MM8uojaWL._SX522_.jpg"/>
    <x v="6"/>
    <x v="12"/>
    <n v="300"/>
    <s v="246 MECHATRONICS"/>
    <x v="21"/>
    <x v="0"/>
    <x v="79"/>
    <x v="1"/>
    <x v="6"/>
    <x v="0"/>
  </r>
  <r>
    <n v="247"/>
    <x v="80"/>
    <d v="2022-10-27T12:33:01"/>
    <x v="0"/>
    <x v="0"/>
    <n v="0.2"/>
    <s v="https://m.media-amazon.com/images/I/51MM8uojaWL._SX522_.jpg_x000a_https://m.media-amazon.com/images/I/51MM8uojaWL._SX522_.jpg"/>
    <x v="6"/>
    <x v="12"/>
    <n v="300"/>
    <s v="247 MECHATRONICS"/>
    <x v="21"/>
    <x v="0"/>
    <x v="80"/>
    <x v="1"/>
    <x v="6"/>
    <x v="0"/>
  </r>
  <r>
    <n v="248"/>
    <x v="81"/>
    <d v="2022-10-27T12:33:01"/>
    <x v="0"/>
    <x v="0"/>
    <n v="0.2"/>
    <s v="https://m.media-amazon.com/images/I/51MM8uojaWL._SX522_.jpg_x000a_https://m.media-amazon.com/images/I/51MM8uojaWL._SX522_.jpg"/>
    <x v="6"/>
    <x v="12"/>
    <n v="80"/>
    <s v="248 MECHATRONICS"/>
    <x v="21"/>
    <x v="0"/>
    <x v="81"/>
    <x v="1"/>
    <x v="6"/>
    <x v="0"/>
  </r>
  <r>
    <n v="249"/>
    <x v="82"/>
    <d v="2022-10-27T12:33:02"/>
    <x v="0"/>
    <x v="0"/>
    <n v="0.2"/>
    <s v="https://www.taydaelectronics.com/media/catalog/product/cache/1/image/220x/9df78eab33525d08d6e5fb8d27136e95/R/M/RM-065_19.jpg_x000a_https://www.taydaelectronics.com/media/catalog/product/cache/1/image/220x/9df78eab33525d08d6e5fb8d27136e95/R/M/RM-065_19.jpg"/>
    <x v="6"/>
    <x v="12"/>
    <n v="80"/>
    <s v="249 MECHATRONICS"/>
    <x v="21"/>
    <x v="0"/>
    <x v="82"/>
    <x v="1"/>
    <x v="6"/>
    <x v="0"/>
  </r>
  <r>
    <n v="250"/>
    <x v="83"/>
    <d v="2022-10-27T12:33:02"/>
    <x v="0"/>
    <x v="0"/>
    <n v="0.2"/>
    <s v="https://5.imimg.com/data5/ECOM/Default/2024/4/412911377/DR/ME/AB/123335792/104-500x500.webp_x000a_https://5.imimg.com/data5/ECOM/Default/2024/4/412911377/DR/ME/AB/123335792/104-500x500.webp"/>
    <x v="6"/>
    <x v="12"/>
    <n v="80"/>
    <s v="250 MECHATRONICS"/>
    <x v="21"/>
    <x v="0"/>
    <x v="83"/>
    <x v="1"/>
    <x v="6"/>
    <x v="0"/>
  </r>
  <r>
    <n v="251"/>
    <x v="84"/>
    <d v="2022-10-27T12:33:02"/>
    <x v="0"/>
    <x v="0"/>
    <n v="0.2"/>
    <s v="https://m.media-amazon.com/images/I/51MM8uojaWL._SX522_.jpg_x000a_https://m.media-amazon.com/images/I/51MM8uojaWL._SX522_.jpg"/>
    <x v="6"/>
    <x v="12"/>
    <n v="80"/>
    <s v="251 MECHATRONICS"/>
    <x v="21"/>
    <x v="0"/>
    <x v="84"/>
    <x v="1"/>
    <x v="6"/>
    <x v="0"/>
  </r>
  <r>
    <n v="252"/>
    <x v="85"/>
    <d v="2022-10-27T12:33:03"/>
    <x v="0"/>
    <x v="0"/>
    <n v="0.2"/>
    <s v="https://m.media-amazon.com/images/I/51MM8uojaWL._SX522_.jpg_x000a_https://m.media-amazon.com/images/I/51MM8uojaWL._SX522_.jpg"/>
    <x v="6"/>
    <x v="12"/>
    <n v="80"/>
    <s v="252 MECHATRONICS"/>
    <x v="21"/>
    <x v="0"/>
    <x v="85"/>
    <x v="1"/>
    <x v="6"/>
    <x v="0"/>
  </r>
  <r>
    <n v="253"/>
    <x v="86"/>
    <d v="2022-10-27T12:33:03"/>
    <x v="0"/>
    <x v="0"/>
    <n v="0.2"/>
    <s v="https://m.media-amazon.com/images/I/51MM8uojaWL._SX522_.jpg_x000a_https://m.media-amazon.com/images/I/51MM8uojaWL._SX522_.jpg"/>
    <x v="6"/>
    <x v="12"/>
    <n v="80"/>
    <s v="253 MECHATRONICS"/>
    <x v="21"/>
    <x v="0"/>
    <x v="86"/>
    <x v="1"/>
    <x v="6"/>
    <x v="0"/>
  </r>
  <r>
    <n v="254"/>
    <x v="87"/>
    <d v="2022-10-27T12:33:04"/>
    <x v="0"/>
    <x v="0"/>
    <n v="0.2"/>
    <s v="https://encrypted-tbn0.gstatic.com/images?q=tbn:ANd9GcTZkt_Gage-KdxjBncrMcEbQCtasPZ-5eZMlw&amp;s_x000a_https://encrypted-tbn0.gstatic.com/images?q=tbn:ANd9GcTZkt_Gage-KdxjBncrMcEbQCtasPZ-5eZMlw&amp;s"/>
    <x v="6"/>
    <x v="12"/>
    <n v="80"/>
    <s v="254 MECHATRONICS"/>
    <x v="21"/>
    <x v="0"/>
    <x v="87"/>
    <x v="1"/>
    <x v="6"/>
    <x v="0"/>
  </r>
  <r>
    <n v="255"/>
    <x v="88"/>
    <d v="2022-10-27T12:33:04"/>
    <x v="0"/>
    <x v="0"/>
    <n v="0.2"/>
    <s v="https://m.media-amazon.com/images/I/51MM8uojaWL._SX522_.jpg_x000a_https://m.media-amazon.com/images/I/51MM8uojaWL._SX522_.jpg"/>
    <x v="6"/>
    <x v="12"/>
    <n v="80"/>
    <s v="255 MECHATRONICS"/>
    <x v="21"/>
    <x v="0"/>
    <x v="88"/>
    <x v="1"/>
    <x v="6"/>
    <x v="0"/>
  </r>
  <r>
    <n v="256"/>
    <x v="89"/>
    <d v="2022-10-27T12:33:05"/>
    <x v="0"/>
    <x v="0"/>
    <n v="0.2"/>
    <s v="https://m.media-amazon.com/images/I/51MM8uojaWL._SX522_.jpg_x000a_https://m.media-amazon.com/images/I/51MM8uojaWL._SX522_.jpg"/>
    <x v="6"/>
    <x v="12"/>
    <n v="80"/>
    <s v="256 MECHATRONICS"/>
    <x v="21"/>
    <x v="0"/>
    <x v="89"/>
    <x v="1"/>
    <x v="6"/>
    <x v="0"/>
  </r>
  <r>
    <n v="257"/>
    <x v="90"/>
    <d v="2022-10-27T12:33:05"/>
    <x v="0"/>
    <x v="0"/>
    <n v="0.2"/>
    <s v="https://m.media-amazon.com/images/I/51MM8uojaWL._SX522_.jpg_x000a_https://m.media-amazon.com/images/I/51MM8uojaWL._SX522_.jpg"/>
    <x v="6"/>
    <x v="12"/>
    <n v="80"/>
    <s v="257 MECHATRONICS"/>
    <x v="21"/>
    <x v="0"/>
    <x v="90"/>
    <x v="1"/>
    <x v="6"/>
    <x v="0"/>
  </r>
  <r>
    <n v="258"/>
    <x v="91"/>
    <d v="2022-10-27T12:37:09"/>
    <x v="0"/>
    <x v="0"/>
    <n v="0.1"/>
    <s v="https://5.imimg.com/data5/MG/WS/MY-10637014/jwco-capacitor-500x500.jpg_x000a_https://5.imimg.com/data5/MG/WS/MY-10637014/jwco-capacitor-500x500.jpg"/>
    <x v="8"/>
    <x v="12"/>
    <n v="200"/>
    <s v="258 MECHATRONICS"/>
    <x v="33"/>
    <x v="0"/>
    <x v="91"/>
    <x v="1"/>
    <x v="1"/>
    <x v="0"/>
  </r>
  <r>
    <n v="259"/>
    <x v="92"/>
    <d v="2022-10-27T12:37:09"/>
    <x v="0"/>
    <x v="0"/>
    <n v="0.1"/>
    <s v="https://5.imimg.com/data5/MG/WS/MY-10637014/jwco-capacitor-500x500.jpg_x000a_https://5.imimg.com/data5/MG/WS/MY-10637014/jwco-capacitor-500x500.jpg"/>
    <x v="8"/>
    <x v="12"/>
    <n v="300"/>
    <s v="259 MECHATRONICS"/>
    <x v="33"/>
    <x v="0"/>
    <x v="92"/>
    <x v="1"/>
    <x v="1"/>
    <x v="0"/>
  </r>
  <r>
    <n v="260"/>
    <x v="93"/>
    <d v="2022-10-27T12:37:10"/>
    <x v="0"/>
    <x v="0"/>
    <n v="0.1"/>
    <s v="https://5.imimg.com/data5/MG/WS/MY-10637014/jwco-capacitor-500x500.jpg_x000a_https://5.imimg.com/data5/MG/WS/MY-10637014/jwco-capacitor-500x500.jpg"/>
    <x v="8"/>
    <x v="12"/>
    <n v="200"/>
    <s v="260 MECHATRONICS"/>
    <x v="33"/>
    <x v="0"/>
    <x v="93"/>
    <x v="1"/>
    <x v="1"/>
    <x v="0"/>
  </r>
  <r>
    <n v="261"/>
    <x v="94"/>
    <d v="2022-10-27T12:37:11"/>
    <x v="0"/>
    <x v="0"/>
    <n v="0.1"/>
    <s v="https://5.imimg.com/data5/MG/WS/MY-10637014/jwco-capacitor-500x500.jpg_x000a_https://5.imimg.com/data5/MG/WS/MY-10637014/jwco-capacitor-500x500.jpg"/>
    <x v="8"/>
    <x v="12"/>
    <n v="200"/>
    <s v="261 MECHATRONICS"/>
    <x v="33"/>
    <x v="0"/>
    <x v="94"/>
    <x v="1"/>
    <x v="1"/>
    <x v="0"/>
  </r>
  <r>
    <n v="262"/>
    <x v="95"/>
    <d v="2022-10-27T12:37:10"/>
    <x v="0"/>
    <x v="0"/>
    <n v="0.1"/>
    <s v="https://5.imimg.com/data5/MG/WS/MY-10637014/jwco-capacitor-500x500.jpg_x000a_https://5.imimg.com/data5/MG/WS/MY-10637014/jwco-capacitor-500x500.jpg"/>
    <x v="8"/>
    <x v="12"/>
    <n v="200"/>
    <s v="262 MECHATRONICS"/>
    <x v="33"/>
    <x v="0"/>
    <x v="95"/>
    <x v="1"/>
    <x v="1"/>
    <x v="0"/>
  </r>
  <r>
    <n v="263"/>
    <x v="96"/>
    <d v="2022-10-27T12:37:11"/>
    <x v="0"/>
    <x v="0"/>
    <n v="0.1"/>
    <s v="https://5.imimg.com/data5/MG/WS/MY-10637014/jwco-capacitor-500x500.jpg_x000a_https://5.imimg.com/data5/MG/WS/MY-10637014/jwco-capacitor-500x500.jpg"/>
    <x v="8"/>
    <x v="12"/>
    <n v="150"/>
    <s v="263 MECHATRONICS"/>
    <x v="33"/>
    <x v="0"/>
    <x v="96"/>
    <x v="1"/>
    <x v="1"/>
    <x v="0"/>
  </r>
  <r>
    <n v="264"/>
    <x v="97"/>
    <d v="2022-10-27T12:37:11"/>
    <x v="0"/>
    <x v="0"/>
    <n v="0.1"/>
    <s v="https://5.imimg.com/data5/MG/WS/MY-10637014/jwco-capacitor-500x500.jpg_x000a_https://5.imimg.com/data5/MG/WS/MY-10637014/jwco-capacitor-500x500.jpg"/>
    <x v="8"/>
    <x v="12"/>
    <n v="200"/>
    <s v="264 MECHATRONICS"/>
    <x v="33"/>
    <x v="0"/>
    <x v="97"/>
    <x v="1"/>
    <x v="1"/>
    <x v="0"/>
  </r>
  <r>
    <n v="265"/>
    <x v="98"/>
    <d v="2022-10-27T12:37:12"/>
    <x v="0"/>
    <x v="0"/>
    <n v="0.1"/>
    <s v="https://5.imimg.com/data5/MG/WS/MY-10637014/jwco-capacitor-500x500.jpg_x000a_https://5.imimg.com/data5/MG/WS/MY-10637014/jwco-capacitor-500x500.jpg"/>
    <x v="8"/>
    <x v="12"/>
    <n v="200"/>
    <s v="265 MECHATRONICS"/>
    <x v="33"/>
    <x v="0"/>
    <x v="98"/>
    <x v="1"/>
    <x v="1"/>
    <x v="0"/>
  </r>
  <r>
    <n v="266"/>
    <x v="99"/>
    <d v="2022-10-27T12:37:12"/>
    <x v="0"/>
    <x v="0"/>
    <n v="0.1"/>
    <s v="https://5.imimg.com/data5/MG/WS/MY-10637014/jwco-capacitor-500x500.jpg_x000a_https://5.imimg.com/data5/MG/WS/MY-10637014/jwco-capacitor-500x500.jpg"/>
    <x v="8"/>
    <x v="12"/>
    <n v="200"/>
    <s v="266 MECHATRONICS"/>
    <x v="33"/>
    <x v="0"/>
    <x v="99"/>
    <x v="1"/>
    <x v="1"/>
    <x v="0"/>
  </r>
  <r>
    <n v="267"/>
    <x v="100"/>
    <d v="2022-10-27T12:37:13"/>
    <x v="0"/>
    <x v="0"/>
    <n v="0.1"/>
    <s v="https://5.imimg.com/data5/MG/WS/MY-10637014/jwco-capacitor-500x500.jpg_x000a_https://5.imimg.com/data5/MG/WS/MY-10637014/jwco-capacitor-500x500.jpg"/>
    <x v="8"/>
    <x v="12"/>
    <n v="38"/>
    <s v="267 MECHATRONICS"/>
    <x v="33"/>
    <x v="0"/>
    <x v="100"/>
    <x v="2"/>
    <x v="1"/>
    <x v="0"/>
  </r>
  <r>
    <n v="268"/>
    <x v="101"/>
    <d v="2022-10-27T12:37:13"/>
    <x v="0"/>
    <x v="0"/>
    <n v="0.1"/>
    <s v="https://5.imimg.com/data5/MG/WS/MY-10637014/jwco-capacitor-500x500.jpg_x000a_https://5.imimg.com/data5/MG/WS/MY-10637014/jwco-capacitor-500x500.jpg"/>
    <x v="8"/>
    <x v="12"/>
    <n v="200"/>
    <s v="268 MECHATRONICS"/>
    <x v="33"/>
    <x v="0"/>
    <x v="101"/>
    <x v="1"/>
    <x v="1"/>
    <x v="0"/>
  </r>
  <r>
    <n v="269"/>
    <x v="102"/>
    <d v="2022-10-27T12:37:13"/>
    <x v="0"/>
    <x v="0"/>
    <n v="0.1"/>
    <s v="https://5.imimg.com/data5/MG/WS/MY-10637014/jwco-capacitor-500x500.jpg_x000a_https://5.imimg.com/data5/MG/WS/MY-10637014/jwco-capacitor-500x500.jpg"/>
    <x v="8"/>
    <x v="12"/>
    <n v="200"/>
    <s v="269 MECHATRONICS"/>
    <x v="33"/>
    <x v="0"/>
    <x v="102"/>
    <x v="1"/>
    <x v="1"/>
    <x v="0"/>
  </r>
  <r>
    <n v="270"/>
    <x v="103"/>
    <d v="2022-10-27T12:37:51"/>
    <x v="0"/>
    <x v="0"/>
    <n v="0.09"/>
    <s v="https://cdn.shopify.com/s/files/1/0174/1800/products/ctc_2_5mmradmlcc.jpg?v=1380728785_x000a_https://cdn.shopify.com/s/files/1/0174/1800/products/ctc_2_5mmradmlcc.jpg?v=1380728785"/>
    <x v="4"/>
    <x v="25"/>
    <n v="4000"/>
    <s v="270 MECHATRONICS"/>
    <x v="34"/>
    <x v="0"/>
    <x v="103"/>
    <x v="1"/>
    <x v="1"/>
    <x v="0"/>
  </r>
  <r>
    <n v="271"/>
    <x v="104"/>
    <d v="2022-10-27T12:37:51"/>
    <x v="0"/>
    <x v="0"/>
    <n v="0.12"/>
    <s v="https://cdn.shopify.com/s/files/1/0174/1800/products/ctc_2_5mmradmlcc.jpg?v=1380728786_x000a_https://cdn.shopify.com/s/files/1/0174/1800/products/ctc_2_5mmradmlcc.jpg?v=1380728786"/>
    <x v="4"/>
    <x v="25"/>
    <m/>
    <s v="271 MECHATRONICS"/>
    <x v="20"/>
    <x v="0"/>
    <x v="104"/>
    <x v="1"/>
    <x v="1"/>
    <x v="0"/>
  </r>
  <r>
    <n v="272"/>
    <x v="105"/>
    <d v="2022-10-27T12:37:52"/>
    <x v="0"/>
    <x v="0"/>
    <n v="0.12"/>
    <s v="https://cdn.shopify.com/s/files/1/0174/1800/products/ctc_2_5mmradmlcc.jpg?v=1380728787_x000a_https://cdn.shopify.com/s/files/1/0174/1800/products/ctc_2_5mmradmlcc.jpg?v=1380728787"/>
    <x v="4"/>
    <x v="25"/>
    <m/>
    <s v="272 MECHATRONICS"/>
    <x v="20"/>
    <x v="0"/>
    <x v="105"/>
    <x v="1"/>
    <x v="1"/>
    <x v="0"/>
  </r>
  <r>
    <n v="273"/>
    <x v="106"/>
    <d v="2022-10-27T12:37:52"/>
    <x v="0"/>
    <x v="0"/>
    <n v="0.18"/>
    <s v="https://cdn.shopify.com/s/files/1/0174/1800/products/ctc_2_5mmradmlcc.jpg?v=1380728788_x000a_https://cdn.shopify.com/s/files/1/0174/1800/products/ctc_2_5mmradmlcc.jpg?v=1380728788"/>
    <x v="4"/>
    <x v="25"/>
    <n v="3000"/>
    <s v="273 MECHATRONICS"/>
    <x v="35"/>
    <x v="0"/>
    <x v="106"/>
    <x v="1"/>
    <x v="1"/>
    <x v="0"/>
  </r>
  <r>
    <n v="274"/>
    <x v="107"/>
    <d v="2022-10-27T12:37:52"/>
    <x v="0"/>
    <x v="0"/>
    <n v="0.12"/>
    <s v="https://cdn.shopify.com/s/files/1/0174/1800/products/ctc_2_5mmradmlcc.jpg?v=1380728789_x000a_https://cdn.shopify.com/s/files/1/0174/1800/products/ctc_2_5mmradmlcc.jpg?v=1380728789"/>
    <x v="4"/>
    <x v="25"/>
    <m/>
    <s v="274 MECHATRONICS"/>
    <x v="20"/>
    <x v="0"/>
    <x v="107"/>
    <x v="1"/>
    <x v="1"/>
    <x v="0"/>
  </r>
  <r>
    <n v="275"/>
    <x v="108"/>
    <d v="2022-10-27T12:37:53"/>
    <x v="0"/>
    <x v="0"/>
    <n v="0.12"/>
    <s v="https://cdn.shopify.com/s/files/1/0174/1800/products/ctc_2_5mmradmlcc.jpg?v=1380728790_x000a_https://cdn.shopify.com/s/files/1/0174/1800/products/ctc_2_5mmradmlcc.jpg?v=1380728790"/>
    <x v="4"/>
    <x v="25"/>
    <m/>
    <s v="275 MECHATRONICS"/>
    <x v="20"/>
    <x v="0"/>
    <x v="108"/>
    <x v="1"/>
    <x v="1"/>
    <x v="0"/>
  </r>
  <r>
    <n v="276"/>
    <x v="109"/>
    <d v="2022-10-27T12:37:53"/>
    <x v="0"/>
    <x v="0"/>
    <n v="0.12"/>
    <s v="https://cdn.shopify.com/s/files/1/0174/1800/products/ctc_2_5mmradmlcc.jpg?v=1380728791_x000a_https://cdn.shopify.com/s/files/1/0174/1800/products/ctc_2_5mmradmlcc.jpg?v=1380728791"/>
    <x v="4"/>
    <x v="25"/>
    <m/>
    <s v="276 MECHATRONICS"/>
    <x v="20"/>
    <x v="0"/>
    <x v="109"/>
    <x v="1"/>
    <x v="1"/>
    <x v="0"/>
  </r>
  <r>
    <n v="277"/>
    <x v="110"/>
    <d v="2022-10-27T12:37:54"/>
    <x v="0"/>
    <x v="0"/>
    <n v="0.12"/>
    <s v="https://cdn.shopify.com/s/files/1/0174/1800/products/ctc_2_5mmradmlcc.jpg?v=1380728792_x000a_https://cdn.shopify.com/s/files/1/0174/1800/products/ctc_2_5mmradmlcc.jpg?v=1380728792"/>
    <x v="4"/>
    <x v="25"/>
    <m/>
    <s v="277 MECHATRONICS"/>
    <x v="20"/>
    <x v="0"/>
    <x v="110"/>
    <x v="1"/>
    <x v="1"/>
    <x v="0"/>
  </r>
  <r>
    <n v="278"/>
    <x v="111"/>
    <d v="2022-10-27T12:37:54"/>
    <x v="0"/>
    <x v="0"/>
    <n v="0.12"/>
    <s v="https://cdn.shopify.com/s/files/1/0174/1800/products/ctc_2_5mmradmlcc.jpg?v=1380728793_x000a_https://cdn.shopify.com/s/files/1/0174/1800/products/ctc_2_5mmradmlcc.jpg?v=1380728793"/>
    <x v="4"/>
    <x v="25"/>
    <m/>
    <s v="278 MECHATRONICS"/>
    <x v="20"/>
    <x v="0"/>
    <x v="111"/>
    <x v="1"/>
    <x v="1"/>
    <x v="0"/>
  </r>
  <r>
    <n v="279"/>
    <x v="112"/>
    <d v="2022-10-27T12:37:55"/>
    <x v="0"/>
    <x v="0"/>
    <n v="0.12"/>
    <s v="https://cdn.shopify.com/s/files/1/0174/1800/products/ctc_2_5mmradmlcc.jpg?v=1380728794_x000a_https://cdn.shopify.com/s/files/1/0174/1800/products/ctc_2_5mmradmlcc.jpg?v=1380728794"/>
    <x v="4"/>
    <x v="25"/>
    <m/>
    <s v="279 MECHATRONICS"/>
    <x v="20"/>
    <x v="0"/>
    <x v="112"/>
    <x v="1"/>
    <x v="1"/>
    <x v="0"/>
  </r>
  <r>
    <n v="285"/>
    <x v="113"/>
    <d v="2022-11-09T16:36:36"/>
    <x v="0"/>
    <x v="0"/>
    <n v="0.64"/>
    <s v="https://media.digikey.com/Photos/Kingbright%20Photos/WP154A4SUREQBFZGC.JPG_x000a_"/>
    <x v="2"/>
    <x v="26"/>
    <n v="160"/>
    <s v="285 MECHATRONICS"/>
    <x v="36"/>
    <x v="0"/>
    <x v="113"/>
    <x v="3"/>
    <x v="3"/>
    <x v="0"/>
  </r>
  <r>
    <n v="286"/>
    <x v="114"/>
    <d v="2022-11-10T12:16:29"/>
    <x v="0"/>
    <x v="0"/>
    <n v="0.37"/>
    <s v="https://media.digikey.com/Photos/Cree%20Photos/C5SMF-BJS-CS24Q4T2.jpg_x000a_"/>
    <x v="2"/>
    <x v="27"/>
    <n v="400"/>
    <s v="286 MECHATRONICS"/>
    <x v="37"/>
    <x v="0"/>
    <x v="114"/>
    <x v="1"/>
    <x v="4"/>
    <x v="0"/>
  </r>
  <r>
    <n v="290"/>
    <x v="115"/>
    <d v="2022-11-10T17:52:37"/>
    <x v="0"/>
    <x v="0"/>
    <n v="0.19"/>
    <s v="https://media.digikey.com/Photos/Adam-Tech/MFG_ICS-308-T.JPG_x000a_"/>
    <x v="0"/>
    <x v="28"/>
    <n v="100"/>
    <s v="290 MECHATRONICS"/>
    <x v="9"/>
    <x v="0"/>
    <x v="115"/>
    <x v="1"/>
    <x v="1"/>
    <x v="0"/>
  </r>
  <r>
    <n v="295"/>
    <x v="116"/>
    <d v="2023-01-05T09:39:52"/>
    <x v="0"/>
    <x v="0"/>
    <n v="0.05"/>
    <s v="https://res.cloudinary.com/rsc/image/upload/b_rgb:FFFFFF,,c_pad,,dpr_2.625,,f_auto,,h_535,,q_auto,,w_950/c_pad,,h_535,,w_950/R1278393-01?pgw=1&amp;pgwact=1_x000a_"/>
    <x v="2"/>
    <x v="29"/>
    <n v="300"/>
    <s v="295 MECHATRONICS"/>
    <x v="38"/>
    <x v="0"/>
    <x v="116"/>
    <x v="3"/>
    <x v="6"/>
    <x v="0"/>
  </r>
  <r>
    <n v="296"/>
    <x v="117"/>
    <d v="2023-01-05T09:40:18"/>
    <x v="0"/>
    <x v="0"/>
    <n v="0.05"/>
    <s v="https://www.exploringarduino.com/wp-content/uploads/2013/06/green-led-350x214.jpg_x000a_"/>
    <x v="2"/>
    <x v="29"/>
    <n v="700"/>
    <s v="296 MECHATRONICS"/>
    <x v="38"/>
    <x v="0"/>
    <x v="117"/>
    <x v="3"/>
    <x v="6"/>
    <x v="0"/>
  </r>
  <r>
    <n v="298"/>
    <x v="118"/>
    <d v="2023-02-15T17:08:22"/>
    <x v="0"/>
    <x v="0"/>
    <n v="0.11"/>
    <s v="https://mm.digikey.com/Volume0/opasdata/d220001/derivates/6/100/957/771/216_HOOK-UP-SOLID-WHITE_web%28640x640%29.jpg_x000a_https://mm.digikey.com/Volume0/opasdata/d220001/derivates/6/100/957/771/216_HOOK-UP-SOLID-WHITE_web%28640x640%29.jpg"/>
    <x v="0"/>
    <x v="12"/>
    <m/>
    <s v="298 MECHATRONICS"/>
    <x v="13"/>
    <x v="0"/>
    <x v="118"/>
    <x v="1"/>
    <x v="7"/>
    <x v="0"/>
  </r>
  <r>
    <n v="300"/>
    <x v="119"/>
    <d v="2023-03-15T15:12:48"/>
    <x v="0"/>
    <x v="0"/>
    <n v="0.85"/>
    <s v="https://media.digikey.com/photos/Keystone%20Elect%20Photos/232,,3,,4.jpg_x000a_"/>
    <x v="2"/>
    <x v="30"/>
    <n v="23"/>
    <s v="300 MECHATRONICS"/>
    <x v="39"/>
    <x v="0"/>
    <x v="119"/>
    <x v="1"/>
    <x v="8"/>
    <x v="0"/>
  </r>
  <r>
    <n v="310"/>
    <x v="120"/>
    <d v="2024-01-23T15:30:07"/>
    <x v="0"/>
    <x v="0"/>
    <n v="0.73"/>
    <s v="https://mm.digikey.com/Volume0/opasdata/d220001/medias/images/2660/497%7ETO220-3TO220AB%7E%7E3.JPG_x000a_"/>
    <x v="1"/>
    <x v="17"/>
    <n v="100"/>
    <s v="310 MECHATRONICS"/>
    <x v="40"/>
    <x v="0"/>
    <x v="120"/>
    <x v="1"/>
    <x v="1"/>
    <x v="0"/>
  </r>
  <r>
    <n v="311"/>
    <x v="121"/>
    <d v="2024-02-23T11:56:05"/>
    <x v="0"/>
    <x v="0"/>
    <n v="0.04"/>
    <s v="https://m.media-amazon.com/images/I/61g0yia++pL._SX466_.jpg_x000a_https://m.media-amazon.com/images/I/61g0yia++pL._SX466_.jpg"/>
    <x v="8"/>
    <x v="12"/>
    <m/>
    <s v="311 MECHATRONICS"/>
    <x v="41"/>
    <x v="0"/>
    <x v="121"/>
    <x v="1"/>
    <x v="6"/>
    <x v="0"/>
  </r>
  <r>
    <n v="314"/>
    <x v="122"/>
    <d v="2024-03-04T17:43:20"/>
    <x v="0"/>
    <x v="0"/>
    <n v="2.69"/>
    <s v="https://m.media-amazon.com/images/I/61s7b7PXlSL._AC_SY550_.jpg_x000a_"/>
    <x v="0"/>
    <x v="31"/>
    <n v="4"/>
    <s v="314 MECHATRONICS"/>
    <x v="42"/>
    <x v="0"/>
    <x v="122"/>
    <x v="2"/>
    <x v="6"/>
    <x v="0"/>
  </r>
  <r>
    <n v="315"/>
    <x v="123"/>
    <d v="2024-03-11T17:38:22"/>
    <x v="0"/>
    <x v="0"/>
    <n v="0.56000000000000005"/>
    <s v="https://m.media-amazon.com/images/I/616qo5O+3vL._AC_SY550_.jpg_x000a_"/>
    <x v="0"/>
    <x v="32"/>
    <n v="40"/>
    <s v="315 MECHATRONICS"/>
    <x v="43"/>
    <x v="0"/>
    <x v="123"/>
    <x v="1"/>
    <x v="9"/>
    <x v="0"/>
  </r>
  <r>
    <n v="316"/>
    <x v="124"/>
    <d v="2024-03-11T17:40:04"/>
    <x v="0"/>
    <x v="0"/>
    <n v="0.81"/>
    <s v="https://m.media-amazon.com/images/I/61K5P5jubKL._AC_SY550_.jpg_x000a_"/>
    <x v="0"/>
    <x v="33"/>
    <n v="40"/>
    <s v="316 MECHATRONICS"/>
    <x v="44"/>
    <x v="0"/>
    <x v="124"/>
    <x v="1"/>
    <x v="9"/>
    <x v="0"/>
  </r>
  <r>
    <n v="320"/>
    <x v="125"/>
    <d v="2024-05-29T10:56:43"/>
    <x v="0"/>
    <x v="0"/>
    <m/>
    <m/>
    <x v="7"/>
    <x v="12"/>
    <m/>
    <s v="320 MECHATRONICS"/>
    <x v="26"/>
    <x v="0"/>
    <x v="125"/>
    <x v="1"/>
    <x v="6"/>
    <x v="0"/>
  </r>
  <r>
    <n v="322"/>
    <x v="125"/>
    <d v="2024-05-29T11:04:01"/>
    <x v="0"/>
    <x v="0"/>
    <m/>
    <m/>
    <x v="2"/>
    <x v="12"/>
    <n v="93"/>
    <s v="322 MECHATRONICS"/>
    <x v="26"/>
    <x v="0"/>
    <x v="126"/>
    <x v="3"/>
    <x v="10"/>
    <x v="0"/>
  </r>
  <r>
    <n v="323"/>
    <x v="126"/>
    <d v="2024-05-31T09:27:23"/>
    <x v="0"/>
    <x v="0"/>
    <n v="0.81"/>
    <s v="https://m.media-amazon.com/images/I/71tQ2ZExRVL._SY500_.jpg_x000a_"/>
    <x v="0"/>
    <x v="34"/>
    <m/>
    <s v="323 MECHATRONICS"/>
    <x v="44"/>
    <x v="0"/>
    <x v="127"/>
    <x v="1"/>
    <x v="9"/>
    <x v="0"/>
  </r>
  <r>
    <n v="329"/>
    <x v="127"/>
    <d v="2024-11-26T15:46:25"/>
    <x v="0"/>
    <x v="0"/>
    <n v="1.08"/>
    <s v="https://mm.digikey.com/Volume0/opasdata/d220001/medias/images/370/P160KN2-4QC20B10K.jpg_x000a_Pot 10K"/>
    <x v="2"/>
    <x v="35"/>
    <m/>
    <s v="329 MECHATRONICS"/>
    <x v="45"/>
    <x v="0"/>
    <x v="128"/>
    <x v="1"/>
    <x v="6"/>
    <x v="0"/>
  </r>
  <r>
    <n v="332"/>
    <x v="128"/>
    <d v="2025-02-07T14:19:51"/>
    <x v="0"/>
    <x v="0"/>
    <n v="0.21"/>
    <s v="https://mm.digikey.com/Volume0/opasdata/d220001/medias/images/2584/HOOK-UP%20SOLID%20ORANGE.JPG_x000a_https://mm.digikey.com/Volume0/opasdata/d220001/medias/images/2584/HOOK-UP%20SOLID%20ORANGE.JPG"/>
    <x v="0"/>
    <x v="12"/>
    <n v="1000"/>
    <s v="332 MECHATRONICS"/>
    <x v="2"/>
    <x v="0"/>
    <x v="129"/>
    <x v="1"/>
    <x v="7"/>
    <x v="0"/>
  </r>
  <r>
    <n v="337"/>
    <x v="129"/>
    <d v="2025-03-11T10:55:38"/>
    <x v="0"/>
    <x v="0"/>
    <n v="0.21"/>
    <s v="https://mm.digikey.com/Volume0/opasdata/d220001/medias/images/590/SW44%7EBK005.jpg_x000a_Spiral Wrap - 6 mm"/>
    <x v="0"/>
    <x v="12"/>
    <n v="140"/>
    <s v="337 MECHATRONICS"/>
    <x v="2"/>
    <x v="0"/>
    <x v="130"/>
    <x v="3"/>
    <x v="6"/>
    <x v="0"/>
  </r>
  <r>
    <n v="1"/>
    <x v="130"/>
    <d v="2021-08-24T10:29:57"/>
    <x v="0"/>
    <x v="0"/>
    <n v="26.03"/>
    <s v="https://canada.newark.com/productimages/standard/en_US/25AC5054-40.jpg_x000a_"/>
    <x v="1"/>
    <x v="12"/>
    <n v="200"/>
    <s v="1 MECHATRONICS"/>
    <x v="46"/>
    <x v="1"/>
    <x v="131"/>
    <x v="1"/>
    <x v="0"/>
    <x v="0"/>
  </r>
  <r>
    <n v="2"/>
    <x v="131"/>
    <d v="2021-08-24T10:33:32"/>
    <x v="0"/>
    <x v="0"/>
    <n v="2.21"/>
    <s v="https://www.mouser.ca/images/eagleplasticdevices/images/12BH382DGR_t.jpg_x000a_"/>
    <x v="1"/>
    <x v="36"/>
    <n v="50"/>
    <s v="2 MECHATRONICS"/>
    <x v="47"/>
    <x v="1"/>
    <x v="132"/>
    <x v="1"/>
    <x v="0"/>
    <x v="0"/>
  </r>
  <r>
    <n v="3"/>
    <x v="132"/>
    <d v="2021-08-24T10:43:05"/>
    <x v="0"/>
    <x v="0"/>
    <n v="3.93"/>
    <s v="https://media.digikey.com/Photos/Keystone%20Elect%20Photos/MFG_2478CN.jpg_x000a_"/>
    <x v="1"/>
    <x v="37"/>
    <n v="35"/>
    <s v="3 MECHATRONICS"/>
    <x v="48"/>
    <x v="1"/>
    <x v="133"/>
    <x v="1"/>
    <x v="0"/>
    <x v="0"/>
  </r>
  <r>
    <n v="4"/>
    <x v="133"/>
    <d v="2021-08-24T10:51:17"/>
    <x v="0"/>
    <x v="0"/>
    <n v="6.55"/>
    <s v="https://canada.newark.com/productimages/standard/en_US/88W3961-40.jpg_x000a_"/>
    <x v="0"/>
    <x v="38"/>
    <n v="300"/>
    <s v="4 MECHATRONICS"/>
    <x v="49"/>
    <x v="1"/>
    <x v="134"/>
    <x v="1"/>
    <x v="0"/>
    <x v="0"/>
  </r>
  <r>
    <n v="5"/>
    <x v="134"/>
    <d v="2021-08-24T10:53:41"/>
    <x v="0"/>
    <x v="0"/>
    <n v="11.37"/>
    <s v="https://media.digikey.com/Photos/BUD%20Industries%20Photos/BB-32656.jpg_x000a_"/>
    <x v="0"/>
    <x v="39"/>
    <n v="200"/>
    <s v="5 MECHATRONICS"/>
    <x v="50"/>
    <x v="1"/>
    <x v="135"/>
    <x v="1"/>
    <x v="0"/>
    <x v="0"/>
  </r>
  <r>
    <n v="8"/>
    <x v="135"/>
    <d v="2021-08-24T11:02:24"/>
    <x v="0"/>
    <x v="0"/>
    <n v="3.69"/>
    <s v="https://cdn11.bigcommerce.com/s-am5zt8xfow/images/stencil/1280x1280/products/1635/7271/CS-PID-41__64183.1616092648.jpg?c=2_x000a_"/>
    <x v="0"/>
    <x v="12"/>
    <n v="250"/>
    <s v="8 MECHATRONICS"/>
    <x v="51"/>
    <x v="1"/>
    <x v="136"/>
    <x v="1"/>
    <x v="0"/>
    <x v="0"/>
  </r>
  <r>
    <n v="14"/>
    <x v="136"/>
    <d v="2021-08-24T11:18:07"/>
    <x v="0"/>
    <x v="0"/>
    <n v="2.4900000000000002"/>
    <s v="https://canada.newark.com/productimages/standard/en_US/4765635.jpg_x000a_"/>
    <x v="2"/>
    <x v="40"/>
    <n v="99"/>
    <s v="14 MECHATRONICS"/>
    <x v="52"/>
    <x v="1"/>
    <x v="137"/>
    <x v="1"/>
    <x v="0"/>
    <x v="0"/>
  </r>
  <r>
    <n v="17"/>
    <x v="137"/>
    <d v="2021-08-24T11:32:27"/>
    <x v="0"/>
    <x v="0"/>
    <n v="1.86"/>
    <s v="https://canada.newark.com/productimages/standard/en_US/33AC0092-40.jpg_x000a_"/>
    <x v="2"/>
    <x v="41"/>
    <n v="94"/>
    <s v="17 MECHATRONICS"/>
    <x v="53"/>
    <x v="1"/>
    <x v="138"/>
    <x v="1"/>
    <x v="0"/>
    <x v="0"/>
  </r>
  <r>
    <n v="19"/>
    <x v="138"/>
    <d v="2021-08-24T11:36:27"/>
    <x v="0"/>
    <x v="0"/>
    <n v="5.0599999999999996"/>
    <s v="https://www.mouser.ca/images/sparkfun/images/bob-12009_SPL.jpg_x000a_"/>
    <x v="2"/>
    <x v="42"/>
    <n v="40"/>
    <s v="19 MECHATRONICS"/>
    <x v="54"/>
    <x v="1"/>
    <x v="139"/>
    <x v="1"/>
    <x v="0"/>
    <x v="0"/>
  </r>
  <r>
    <n v="22"/>
    <x v="139"/>
    <d v="2021-08-24T11:44:35"/>
    <x v="0"/>
    <x v="0"/>
    <n v="9.07"/>
    <s v="https://www.canakit.com/Media/400/2661.jpg_x000a_"/>
    <x v="9"/>
    <x v="43"/>
    <n v="600"/>
    <s v="22 MECHATRONICS"/>
    <x v="55"/>
    <x v="1"/>
    <x v="140"/>
    <x v="3"/>
    <x v="0"/>
    <x v="0"/>
  </r>
  <r>
    <n v="23"/>
    <x v="140"/>
    <d v="2021-08-24T11:47:44"/>
    <x v="0"/>
    <x v="0"/>
    <n v="66.040000000000006"/>
    <s v="https://www.mouser.ca/images/arduino/images/A000067_t.jpg_x000a_"/>
    <x v="9"/>
    <x v="44"/>
    <n v="6"/>
    <s v="23 MECHATRONICS"/>
    <x v="56"/>
    <x v="1"/>
    <x v="141"/>
    <x v="2"/>
    <x v="0"/>
    <x v="0"/>
  </r>
  <r>
    <n v="24"/>
    <x v="141"/>
    <d v="2021-08-24T11:49:00"/>
    <x v="0"/>
    <x v="0"/>
    <n v="58.55"/>
    <s v="https://www.mouser.ca/images/arduino/images/ABX00052_DSL.jpg_x000a_"/>
    <x v="9"/>
    <x v="45"/>
    <n v="120"/>
    <s v="24 MECHATRONICS"/>
    <x v="57"/>
    <x v="1"/>
    <x v="142"/>
    <x v="3"/>
    <x v="0"/>
    <x v="0"/>
  </r>
  <r>
    <n v="25"/>
    <x v="142"/>
    <d v="2021-08-24T11:51:00"/>
    <x v="0"/>
    <x v="0"/>
    <n v="7.63"/>
    <s v="https://media.digikey.com/Photos/Adafruit%20Industries%20LLC/MFG_4007-00.jpg_x000a_"/>
    <x v="3"/>
    <x v="46"/>
    <n v="160"/>
    <s v="25 MECHATRONICS"/>
    <x v="58"/>
    <x v="1"/>
    <x v="143"/>
    <x v="1"/>
    <x v="0"/>
    <x v="0"/>
  </r>
  <r>
    <n v="26"/>
    <x v="143"/>
    <d v="2021-08-24T11:52:33"/>
    <x v="0"/>
    <x v="0"/>
    <n v="12.39"/>
    <s v="https://media.digikey.com/Photos/Sharp%20Photos/GP2Y0A41SK0F.JPG_x000a_"/>
    <x v="3"/>
    <x v="47"/>
    <n v="50"/>
    <s v="26 MECHATRONICS"/>
    <x v="59"/>
    <x v="1"/>
    <x v="144"/>
    <x v="1"/>
    <x v="0"/>
    <x v="0"/>
  </r>
  <r>
    <n v="27"/>
    <x v="144"/>
    <d v="2021-08-24T11:53:57"/>
    <x v="0"/>
    <x v="0"/>
    <n v="16.670000000000002"/>
    <s v="https://media.digikey.com/Photos/Seeed%20Technology%20Ltd/MFG_114990100.jpg_x000a_"/>
    <x v="3"/>
    <x v="48"/>
    <n v="20"/>
    <s v="27 MECHATRONICS"/>
    <x v="60"/>
    <x v="1"/>
    <x v="145"/>
    <x v="1"/>
    <x v="0"/>
    <x v="0"/>
  </r>
  <r>
    <n v="28"/>
    <x v="145"/>
    <d v="2021-08-24T11:56:10"/>
    <x v="0"/>
    <x v="0"/>
    <n v="45.59"/>
    <s v="https://media.digikey.com/Photos/Raspberry%20Pi/MFG_913-2673.JPG_x000a_"/>
    <x v="3"/>
    <x v="49"/>
    <n v="6"/>
    <s v="28 MECHATRONICS"/>
    <x v="61"/>
    <x v="1"/>
    <x v="146"/>
    <x v="2"/>
    <x v="0"/>
    <x v="0"/>
  </r>
  <r>
    <n v="29"/>
    <x v="146"/>
    <d v="2021-08-24T11:57:39"/>
    <x v="0"/>
    <x v="0"/>
    <n v="58.5"/>
    <s v="https://media.digikey.com/Photos/Honeywell%20Photos/MFG_SSCDAN%20Series,,%208-DIP%20Module%20Series.jpg_x000a_"/>
    <x v="3"/>
    <x v="50"/>
    <n v="5"/>
    <s v="29 MECHATRONICS"/>
    <x v="62"/>
    <x v="1"/>
    <x v="147"/>
    <x v="1"/>
    <x v="0"/>
    <x v="0"/>
  </r>
  <r>
    <n v="30"/>
    <x v="147"/>
    <d v="2021-08-24T11:59:23"/>
    <x v="0"/>
    <x v="0"/>
    <n v="8.23"/>
    <s v="https://www.mouser.ca/images/dfrobot/images/SEN0114_SPL.jpg_x000a_"/>
    <x v="3"/>
    <x v="51"/>
    <n v="30"/>
    <s v="30 MECHATRONICS"/>
    <x v="63"/>
    <x v="1"/>
    <x v="148"/>
    <x v="1"/>
    <x v="0"/>
    <x v="0"/>
  </r>
  <r>
    <n v="32"/>
    <x v="148"/>
    <d v="2021-08-24T12:02:22"/>
    <x v="0"/>
    <x v="0"/>
    <n v="17.07"/>
    <s v="https://www.mouser.ca/images/adafruit/images/385_spl.jpg_x000a_"/>
    <x v="3"/>
    <x v="52"/>
    <n v="40"/>
    <s v="32 MECHATRONICS"/>
    <x v="64"/>
    <x v="1"/>
    <x v="149"/>
    <x v="1"/>
    <x v="0"/>
    <x v="0"/>
  </r>
  <r>
    <n v="34"/>
    <x v="149"/>
    <d v="2021-08-24T12:05:37"/>
    <x v="0"/>
    <x v="0"/>
    <n v="1.84"/>
    <s v="https://canada.newark.com/productimages/standard/en_US/5300348.jpg_x000a_"/>
    <x v="3"/>
    <x v="53"/>
    <n v="400"/>
    <s v="34 MECHATRONICS"/>
    <x v="65"/>
    <x v="1"/>
    <x v="150"/>
    <x v="1"/>
    <x v="0"/>
    <x v="0"/>
  </r>
  <r>
    <n v="35"/>
    <x v="150"/>
    <d v="2021-08-24T12:07:18"/>
    <x v="0"/>
    <x v="0"/>
    <n v="34.22"/>
    <s v="https://www.mouser.ca/images/adafruit/images/4411_SPL.jpg_x000a_"/>
    <x v="10"/>
    <x v="54"/>
    <n v="5"/>
    <s v="35 MECHATRONICS"/>
    <x v="66"/>
    <x v="1"/>
    <x v="151"/>
    <x v="1"/>
    <x v="0"/>
    <x v="0"/>
  </r>
  <r>
    <n v="36"/>
    <x v="151"/>
    <d v="2021-08-24T12:08:48"/>
    <x v="0"/>
    <x v="0"/>
    <n v="66.36"/>
    <s v="https://www.mouser.ca/images/sparkfun/images/rob-13656_SPL.jpg_x000a_"/>
    <x v="10"/>
    <x v="55"/>
    <n v="5"/>
    <s v="36 MECHATRONICS"/>
    <x v="67"/>
    <x v="1"/>
    <x v="152"/>
    <x v="2"/>
    <x v="0"/>
    <x v="0"/>
  </r>
  <r>
    <n v="37"/>
    <x v="152"/>
    <d v="2021-08-24T12:11:29"/>
    <x v="0"/>
    <x v="0"/>
    <n v="30.02"/>
    <s v="https://www.mouser.ca/images/adafruit/images/2479_spl.jpg_x000a_"/>
    <x v="11"/>
    <x v="56"/>
    <n v="12"/>
    <s v="37 MECHATRONICS"/>
    <x v="68"/>
    <x v="1"/>
    <x v="153"/>
    <x v="2"/>
    <x v="0"/>
    <x v="0"/>
  </r>
  <r>
    <n v="39"/>
    <x v="153"/>
    <d v="2021-08-24T12:25:38"/>
    <x v="0"/>
    <x v="0"/>
    <n v="3.48"/>
    <s v="https://media.digikey.com/Photos/Seeed%20Technology%20Ltd/MFG_321010008.jpg_x000a_"/>
    <x v="0"/>
    <x v="12"/>
    <n v="85"/>
    <s v="39 MECHATRONICS"/>
    <x v="69"/>
    <x v="1"/>
    <x v="154"/>
    <x v="1"/>
    <x v="0"/>
    <x v="0"/>
  </r>
  <r>
    <n v="46"/>
    <x v="154"/>
    <d v="2021-09-22T11:48:52"/>
    <x v="0"/>
    <x v="0"/>
    <n v="7.26"/>
    <s v="https://abra-electronics.com/images/detailed/85/372-ADA__91861.jpg_x000a_"/>
    <x v="3"/>
    <x v="57"/>
    <n v="300"/>
    <s v="46 MECHATRONICS"/>
    <x v="70"/>
    <x v="1"/>
    <x v="155"/>
    <x v="1"/>
    <x v="0"/>
    <x v="0"/>
  </r>
  <r>
    <n v="47"/>
    <x v="155"/>
    <d v="2021-09-22T11:53:59"/>
    <x v="0"/>
    <x v="0"/>
    <n v="3.77"/>
    <s v="https://media.digikey.com/Photos/Adafruit%20Industries%20LLC/MFG_4667.jpg_x000a_"/>
    <x v="3"/>
    <x v="58"/>
    <n v="161"/>
    <s v="47 MECHATRONICS"/>
    <x v="71"/>
    <x v="1"/>
    <x v="156"/>
    <x v="1"/>
    <x v="0"/>
    <x v="0"/>
  </r>
  <r>
    <n v="48"/>
    <x v="156"/>
    <d v="2021-09-22T12:02:49"/>
    <x v="0"/>
    <x v="0"/>
    <n v="21.73"/>
    <s v="https://www.ato.com/content/images/thumbs/0002448_nema-17-bipolar-stepper-motor-28v-168a-2-phase-4-wires_550.jpeg_x000a_"/>
    <x v="10"/>
    <x v="59"/>
    <n v="150"/>
    <s v="48 MECHATRONICS"/>
    <x v="72"/>
    <x v="1"/>
    <x v="157"/>
    <x v="1"/>
    <x v="0"/>
    <x v="0"/>
  </r>
  <r>
    <n v="49"/>
    <x v="157"/>
    <d v="2021-09-22T13:54:42"/>
    <x v="0"/>
    <x v="0"/>
    <n v="30.91"/>
    <s v="https://cdn3.botland.store/82789-pdt_540/dc-motor-with-gear-6v-100rpm-encoder.jpg_x000a_"/>
    <x v="10"/>
    <x v="60"/>
    <n v="100"/>
    <s v="49 MECHATRONICS"/>
    <x v="73"/>
    <x v="1"/>
    <x v="158"/>
    <x v="1"/>
    <x v="0"/>
    <x v="0"/>
  </r>
  <r>
    <n v="50"/>
    <x v="158"/>
    <d v="2021-09-22T13:59:58"/>
    <x v="0"/>
    <x v="0"/>
    <n v="20.420000000000002"/>
    <s v="https://dfimg.dfrobot.com/store/data/FIT0485/FIT0485.jpg?imageView2/1/w/564/h/376_x000a_"/>
    <x v="10"/>
    <x v="61"/>
    <n v="10"/>
    <s v="50 MECHATRONICS"/>
    <x v="74"/>
    <x v="1"/>
    <x v="159"/>
    <x v="2"/>
    <x v="0"/>
    <x v="0"/>
  </r>
  <r>
    <n v="51"/>
    <x v="159"/>
    <d v="2021-09-22T14:02:46"/>
    <x v="0"/>
    <x v="0"/>
    <n v="6.37"/>
    <s v="https://cdn.shopify.com/s/files/1/0915/1182/products/MhiOZTxSVaM1i4WcEZVS_MD-L298N-800x800_2048x.jpg?v=1596141889_x000a_"/>
    <x v="12"/>
    <x v="62"/>
    <n v="130"/>
    <s v="51 MECHATRONICS"/>
    <x v="75"/>
    <x v="1"/>
    <x v="160"/>
    <x v="1"/>
    <x v="0"/>
    <x v="0"/>
  </r>
  <r>
    <n v="52"/>
    <x v="160"/>
    <d v="2021-09-23T15:31:02"/>
    <x v="0"/>
    <x v="0"/>
    <n v="33.39"/>
    <s v="https://m.media-amazon.com/images/I/71z22cRPeeL._AC_UF894,,1000_QL80_.jpg_x000a_"/>
    <x v="9"/>
    <x v="63"/>
    <n v="24"/>
    <s v="52 MECHATRONICS"/>
    <x v="76"/>
    <x v="1"/>
    <x v="161"/>
    <x v="2"/>
    <x v="0"/>
    <x v="0"/>
  </r>
  <r>
    <n v="53"/>
    <x v="161"/>
    <d v="2021-09-23T15:34:09"/>
    <x v="0"/>
    <x v="0"/>
    <n v="0.21"/>
    <s v="https://media.digikey.com/photos/Omron%20Elect%20Photos/B3F-1020.jpg_x000a_"/>
    <x v="2"/>
    <x v="64"/>
    <n v="550"/>
    <s v="53 MECHATRONICS"/>
    <x v="77"/>
    <x v="1"/>
    <x v="162"/>
    <x v="1"/>
    <x v="0"/>
    <x v="0"/>
  </r>
  <r>
    <n v="54"/>
    <x v="162"/>
    <d v="2021-09-23T16:00:17"/>
    <x v="0"/>
    <x v="0"/>
    <n v="20.420000000000002"/>
    <s v="https://abra-electronics.com/images/detailed/152/JGA25-370-6V100-E_1ius-t6_prnl-67_gnh1-cc_jrqc-jc_ai2g-ck_asae-up_12yl-bp_rzxu-vo_vcwf-9s_h4tq-7v_usye-8e_usb7-xl_vkvy-1j_cc49-3p_7ir0-cp_ux0l-kb.jpg_x000a_https://abra-electronics.com/images/detailed/152/JGA25-370-6V100-E_1ius-t6_prnl-67_gnh1-cc_jrqc-jc_ai2g-ck_asae-up_12yl-bp_rzxu-vo_vcwf-9s_h4tq-7v_usye-8e_usb7-xl_vkvy-1j_cc49-3p_7ir0-cp_ux0l-kb.jpg"/>
    <x v="10"/>
    <x v="65"/>
    <n v="100"/>
    <s v="54 MECHATRONICS"/>
    <x v="74"/>
    <x v="1"/>
    <x v="163"/>
    <x v="1"/>
    <x v="0"/>
    <x v="0"/>
  </r>
  <r>
    <n v="55"/>
    <x v="163"/>
    <d v="2021-09-23T16:02:32"/>
    <x v="0"/>
    <x v="0"/>
    <n v="14.83"/>
    <s v="https://imgaz3.staticbg.com/thumb/large/oaupload/banggood/images/F8/91/b18cf8e6-eece-434c-b4a5-dcac38fe26af.jpg_x000a_"/>
    <x v="10"/>
    <x v="66"/>
    <n v="100"/>
    <s v="55 MECHATRONICS"/>
    <x v="78"/>
    <x v="1"/>
    <x v="164"/>
    <x v="1"/>
    <x v="0"/>
    <x v="0"/>
  </r>
  <r>
    <n v="63"/>
    <x v="164"/>
    <d v="2021-10-08T11:46:11"/>
    <x v="0"/>
    <x v="0"/>
    <n v="1.63"/>
    <s v="https://www.mouser.ca/images/sparkfun/lrg/prt-10811_SPL.jpg_x000a_DC Barrel Jack Adapter - Breadboard Compatible"/>
    <x v="0"/>
    <x v="67"/>
    <n v="130"/>
    <s v="63 MECHATRONICS"/>
    <x v="79"/>
    <x v="1"/>
    <x v="165"/>
    <x v="1"/>
    <x v="0"/>
    <x v="0"/>
  </r>
  <r>
    <n v="64"/>
    <x v="165"/>
    <d v="2021-10-08T11:48:58"/>
    <x v="0"/>
    <x v="0"/>
    <n v="5.9"/>
    <s v="https://www.mouser.ca/images/gravitech/lrg/BB-TERM3.jpg_x000a_3-Position Terminal Block Breakout"/>
    <x v="0"/>
    <x v="68"/>
    <n v="42"/>
    <s v="64 MECHATRONICS"/>
    <x v="5"/>
    <x v="1"/>
    <x v="166"/>
    <x v="1"/>
    <x v="0"/>
    <x v="0"/>
  </r>
  <r>
    <n v="66"/>
    <x v="166"/>
    <d v="2021-10-28T11:46:45"/>
    <x v="0"/>
    <x v="0"/>
    <n v="99"/>
    <m/>
    <x v="13"/>
    <x v="12"/>
    <n v="1"/>
    <s v="66 MECHATRONICS"/>
    <x v="80"/>
    <x v="1"/>
    <x v="167"/>
    <x v="0"/>
    <x v="0"/>
    <x v="0"/>
  </r>
  <r>
    <n v="67"/>
    <x v="167"/>
    <d v="2021-11-01T13:13:29"/>
    <x v="0"/>
    <x v="0"/>
    <n v="2.8"/>
    <s v="https://media.digikey.com/Photos/CIT%20Relay%20and%20Switch/MFG_ANT23SECQE.jpg_x000a_"/>
    <x v="2"/>
    <x v="69"/>
    <n v="50"/>
    <s v="67 MECHATRONICS"/>
    <x v="43"/>
    <x v="1"/>
    <x v="168"/>
    <x v="1"/>
    <x v="0"/>
    <x v="0"/>
  </r>
  <r>
    <n v="68"/>
    <x v="168"/>
    <d v="2021-11-02T16:42:26"/>
    <x v="0"/>
    <x v="0"/>
    <n v="1"/>
    <s v="https://media.digikey.com/Photos/Wurth%20Electronics%20Photos/971500324.jpg_x000a_"/>
    <x v="14"/>
    <x v="70"/>
    <n v="44"/>
    <s v="68 MECHATRONICS"/>
    <x v="21"/>
    <x v="1"/>
    <x v="169"/>
    <x v="1"/>
    <x v="0"/>
    <x v="0"/>
  </r>
  <r>
    <n v="69"/>
    <x v="169"/>
    <d v="2021-11-03T19:57:48"/>
    <x v="0"/>
    <x v="0"/>
    <n v="0.55000000000000004"/>
    <s v="https://media.digikey.com/Photos/Wurth%20Electronics%20Photos/971250244.jpg_x000a_"/>
    <x v="14"/>
    <x v="71"/>
    <n v="100"/>
    <s v="69 MECHATRONICS"/>
    <x v="13"/>
    <x v="1"/>
    <x v="170"/>
    <x v="1"/>
    <x v="0"/>
    <x v="0"/>
  </r>
  <r>
    <n v="70"/>
    <x v="170"/>
    <d v="2021-11-03T20:29:34"/>
    <x v="0"/>
    <x v="0"/>
    <n v="0.62"/>
    <s v="https://media.digikey.com/photos/Keystone%20Elect%20Photos/24437.JPG_x000a_"/>
    <x v="14"/>
    <x v="72"/>
    <n v="300"/>
    <s v="70 MECHATRONICS"/>
    <x v="81"/>
    <x v="1"/>
    <x v="171"/>
    <x v="1"/>
    <x v="0"/>
    <x v="0"/>
  </r>
  <r>
    <n v="71"/>
    <x v="171"/>
    <d v="2021-11-03T20:43:48"/>
    <x v="0"/>
    <x v="0"/>
    <n v="0.32"/>
    <s v="https://media.digikey.com/Photos/Wurth%20Electronics%20Photos/971100354.JPG_x000a_"/>
    <x v="14"/>
    <x v="73"/>
    <n v="250"/>
    <s v="71 MECHATRONICS"/>
    <x v="82"/>
    <x v="1"/>
    <x v="172"/>
    <x v="1"/>
    <x v="0"/>
    <x v="0"/>
  </r>
  <r>
    <n v="72"/>
    <x v="172"/>
    <d v="2021-11-03T22:30:01"/>
    <x v="0"/>
    <x v="0"/>
    <n v="0.33"/>
    <s v="https://media.digikey.com/Photos/Wurth%20Electronics%20Photos/971080324.JPG_x000a_"/>
    <x v="14"/>
    <x v="73"/>
    <n v="300"/>
    <s v="72 MECHATRONICS"/>
    <x v="83"/>
    <x v="1"/>
    <x v="173"/>
    <x v="1"/>
    <x v="0"/>
    <x v="0"/>
  </r>
  <r>
    <n v="74"/>
    <x v="173"/>
    <d v="2021-11-04T14:47:04"/>
    <x v="0"/>
    <x v="0"/>
    <n v="0.25"/>
    <s v="https://www.mouser.ca/images/vishay/images/do204ac.jpg_x000a_"/>
    <x v="2"/>
    <x v="74"/>
    <n v="1000"/>
    <s v="74 MECHATRONICS"/>
    <x v="38"/>
    <x v="1"/>
    <x v="174"/>
    <x v="1"/>
    <x v="0"/>
    <x v="0"/>
  </r>
  <r>
    <n v="76"/>
    <x v="174"/>
    <d v="2021-11-04T17:55:48"/>
    <x v="0"/>
    <x v="0"/>
    <n v="1.62"/>
    <s v="https://www.jameco.com/Jameco/Products/MakeImag/209234.jpg_x000a_"/>
    <x v="2"/>
    <x v="75"/>
    <n v="40"/>
    <s v="76 MECHATRONICS"/>
    <x v="84"/>
    <x v="1"/>
    <x v="175"/>
    <x v="1"/>
    <x v="0"/>
    <x v="0"/>
  </r>
  <r>
    <n v="77"/>
    <x v="175"/>
    <d v="2021-11-04T18:05:34"/>
    <x v="0"/>
    <x v="0"/>
    <n v="0.12"/>
    <s v="https://m.media-amazon.com/images/I/31vWVRnV1kL._SX342_.jpg_x000a_"/>
    <x v="2"/>
    <x v="76"/>
    <n v="30"/>
    <s v="77 MECHATRONICS"/>
    <x v="85"/>
    <x v="1"/>
    <x v="176"/>
    <x v="2"/>
    <x v="0"/>
    <x v="0"/>
  </r>
  <r>
    <n v="98"/>
    <x v="176"/>
    <d v="2021-11-06T12:13:13"/>
    <x v="0"/>
    <x v="0"/>
    <n v="3.28"/>
    <s v="https://www.muellerelectric.com/images/products/533/BU-P3925-2.jpg_x000a_"/>
    <x v="0"/>
    <x v="12"/>
    <n v="15"/>
    <s v="98 MECHATRONICS"/>
    <x v="86"/>
    <x v="1"/>
    <x v="177"/>
    <x v="1"/>
    <x v="0"/>
    <x v="0"/>
  </r>
  <r>
    <n v="101"/>
    <x v="177"/>
    <d v="2021-11-06T13:01:16"/>
    <x v="0"/>
    <x v="0"/>
    <n v="19.22"/>
    <s v="https://cdn-global-hk.hobbyking.com/media/catalog/product/cache/1/image/660x415/17f82f742ffe127f42dca9de82fb58b1/legacy/catalog/51191.jpg_x000a_"/>
    <x v="1"/>
    <x v="77"/>
    <m/>
    <s v="101 MECHATRONICS"/>
    <x v="87"/>
    <x v="1"/>
    <x v="178"/>
    <x v="0"/>
    <x v="0"/>
    <x v="0"/>
  </r>
  <r>
    <n v="107"/>
    <x v="178"/>
    <d v="2021-11-07T10:40:25"/>
    <x v="0"/>
    <x v="0"/>
    <n v="2.65"/>
    <s v="https://i.ebayimg.com/images/g/nckAAOSwzXxaJmyQ/s-l500.jpg_x000a_"/>
    <x v="14"/>
    <x v="12"/>
    <n v="142"/>
    <s v="107 MECHATRONICS"/>
    <x v="88"/>
    <x v="1"/>
    <x v="179"/>
    <x v="1"/>
    <x v="0"/>
    <x v="0"/>
  </r>
  <r>
    <n v="108"/>
    <x v="179"/>
    <d v="2021-11-07T10:52:45"/>
    <x v="0"/>
    <x v="0"/>
    <n v="2.29"/>
    <s v="https://m.media-amazon.com/images/I/61RO4oqYWyL._AC_SY450_.jpg_x000a_"/>
    <x v="13"/>
    <x v="78"/>
    <n v="37"/>
    <s v="108 MECHATRONICS"/>
    <x v="89"/>
    <x v="1"/>
    <x v="180"/>
    <x v="1"/>
    <x v="0"/>
    <x v="0"/>
  </r>
  <r>
    <n v="109"/>
    <x v="180"/>
    <d v="2021-11-07T10:53:58"/>
    <x v="0"/>
    <x v="0"/>
    <n v="2.12"/>
    <s v="https://thepihut.com/cdn/shop/products/skinny-wheel-for-tt-dc-gearbox-motors-the-pi-hut-ada3757-28609414693059_1000x.jpg?v=1646190365_x000a_https://www.robotshop.com/media/catalog/product/cache/image/1350x/9df78eab33525d08d6e5fb8d27136e95/p/o/pololu-wheel-60-8mm-black-pair.jpg"/>
    <x v="13"/>
    <x v="12"/>
    <n v="16"/>
    <s v="109 MECHATRONICS"/>
    <x v="90"/>
    <x v="1"/>
    <x v="181"/>
    <x v="1"/>
    <x v="0"/>
    <x v="0"/>
  </r>
  <r>
    <n v="110"/>
    <x v="181"/>
    <d v="2021-11-07T10:54:58"/>
    <x v="0"/>
    <x v="0"/>
    <n v="71.040000000000006"/>
    <s v="https://cf.shopee.co.th/file/c795e7c5b48c8d3378bbddb4fbfc7645_x000a_https://cf.shopee.co.th/file/c795e7c5b48c8d3378bbddb4fbfc7645"/>
    <x v="13"/>
    <x v="12"/>
    <n v="12"/>
    <s v="110 MECHATRONICS"/>
    <x v="91"/>
    <x v="1"/>
    <x v="182"/>
    <x v="2"/>
    <x v="0"/>
    <x v="0"/>
  </r>
  <r>
    <n v="114"/>
    <x v="182"/>
    <d v="2021-11-23T14:29:10"/>
    <x v="0"/>
    <x v="0"/>
    <n v="11.72"/>
    <s v="https://www.digitmakers.ca/cdn/shop/products/3D-Printer-A4988-Stepper-Motor-Driver-Digitmakers-ca-9201_800x.jpg?v=1691542097_x000a_https://www.digitmakers.ca/cdn/shop/products/3D-Printer-A4988-Stepper-Motor-Driver-Digitmakers-ca-9201_800x.jpg?v=1691542097"/>
    <x v="12"/>
    <x v="79"/>
    <n v="43"/>
    <s v="114 MECHATRONICS"/>
    <x v="92"/>
    <x v="1"/>
    <x v="183"/>
    <x v="1"/>
    <x v="0"/>
    <x v="0"/>
  </r>
  <r>
    <n v="115"/>
    <x v="183"/>
    <d v="2021-12-06T15:09:18"/>
    <x v="0"/>
    <x v="0"/>
    <n v="11.31"/>
    <s v="https://mm.digikey.com/Volume0/opasdata/d220001/medias/images/2371/DFR0229.JPG_x000a_"/>
    <x v="11"/>
    <x v="80"/>
    <n v="49"/>
    <s v="115 MECHATRONICS"/>
    <x v="93"/>
    <x v="1"/>
    <x v="184"/>
    <x v="3"/>
    <x v="0"/>
    <x v="0"/>
  </r>
  <r>
    <n v="116"/>
    <x v="184"/>
    <d v="2021-12-14T15:17:46"/>
    <x v="0"/>
    <x v="0"/>
    <n v="1.52"/>
    <s v="https://media.digikey.com/Photos/Piher-Sensors/PT15NV15-105A2020.JPG_x000a_"/>
    <x v="2"/>
    <x v="81"/>
    <n v="250"/>
    <s v="116 MECHATRONICS"/>
    <x v="94"/>
    <x v="1"/>
    <x v="185"/>
    <x v="2"/>
    <x v="0"/>
    <x v="0"/>
  </r>
  <r>
    <n v="117"/>
    <x v="185"/>
    <d v="2021-12-15T09:51:51"/>
    <x v="0"/>
    <x v="0"/>
    <n v="1.33"/>
    <s v="https://www.robotdigg.com/crab/image/2018/07/25/af05c6a718db8c26c5248fa69613c58c-300-300.jpeg_x000a_"/>
    <x v="5"/>
    <x v="82"/>
    <n v="39"/>
    <s v="117 MECHATRONICS"/>
    <x v="95"/>
    <x v="1"/>
    <x v="186"/>
    <x v="1"/>
    <x v="0"/>
    <x v="0"/>
  </r>
  <r>
    <n v="118"/>
    <x v="186"/>
    <d v="2021-12-20T16:14:03"/>
    <x v="0"/>
    <x v="0"/>
    <n v="25.99"/>
    <s v="https://m.media-amazon.com/images/I/71KSWielMES.jpg_x000a_"/>
    <x v="11"/>
    <x v="83"/>
    <n v="20"/>
    <s v="118 MECHATRONICS"/>
    <x v="96"/>
    <x v="1"/>
    <x v="187"/>
    <x v="2"/>
    <x v="0"/>
    <x v="0"/>
  </r>
  <r>
    <n v="126"/>
    <x v="187"/>
    <d v="2022-01-31T15:54:37"/>
    <x v="0"/>
    <x v="0"/>
    <n v="4.88"/>
    <s v="https://media.digikey.com/Photos/DB-Unlimited/MFG_IP154012-1.jpg_x000a_"/>
    <x v="2"/>
    <x v="84"/>
    <n v="173"/>
    <s v="126 MECHATRONICS"/>
    <x v="97"/>
    <x v="1"/>
    <x v="188"/>
    <x v="1"/>
    <x v="0"/>
    <x v="0"/>
  </r>
  <r>
    <n v="127"/>
    <x v="188"/>
    <d v="2022-01-31T16:44:23"/>
    <x v="0"/>
    <x v="0"/>
    <n v="9.6199999999999992"/>
    <s v="https://media.digikey.com/Photos/Adafruit%20Industries%20LLC/MFG_3297.jpg_x000a_https://media.digikey.com/Photos/Adafruit%20Industries%20LLC/MFG_3297.jpg"/>
    <x v="12"/>
    <x v="85"/>
    <n v="120"/>
    <s v="127 MECHATRONICS"/>
    <x v="98"/>
    <x v="1"/>
    <x v="189"/>
    <x v="1"/>
    <x v="0"/>
    <x v="0"/>
  </r>
  <r>
    <n v="129"/>
    <x v="189"/>
    <d v="2022-02-01T14:30:32"/>
    <x v="0"/>
    <x v="0"/>
    <n v="7.62"/>
    <s v="https://media.digikey.com/Photos/Pimoroni%20Photos/MFG_COM1700.jpg_x000a_"/>
    <x v="3"/>
    <x v="86"/>
    <n v="81"/>
    <s v="129 MECHATRONICS"/>
    <x v="99"/>
    <x v="1"/>
    <x v="190"/>
    <x v="1"/>
    <x v="1"/>
    <x v="0"/>
  </r>
  <r>
    <n v="130"/>
    <x v="190"/>
    <d v="2022-02-17T12:34:42"/>
    <x v="0"/>
    <x v="0"/>
    <n v="7.79"/>
    <s v="https://cdn11.bigcommerce.com/s-tnsp6i3ma6/images/stencil/original/products/4688/31288/RHA32-36-48__69755.1628016334.jpg?c=2_x000a_https://cdn11.bigcommerce.com/s-tnsp6i3ma6/images/stencil/original/products/4688/31288/RHA32-36-48__69755.1628016334.jpg?c=2"/>
    <x v="15"/>
    <x v="12"/>
    <n v="60"/>
    <s v="130 MECHATRONICS"/>
    <x v="100"/>
    <x v="1"/>
    <x v="191"/>
    <x v="1"/>
    <x v="11"/>
    <x v="0"/>
  </r>
  <r>
    <n v="131"/>
    <x v="191"/>
    <d v="2022-02-17T12:39:56"/>
    <x v="0"/>
    <x v="0"/>
    <n v="9.36"/>
    <s v="https://cdn11.bigcommerce.com/s-f6vfspkkjf/images/stencil/original/products/4656/19578/2311-0001-0118__21128__11239.1701979375.jpg?c=1_x000a_https://cdn11.bigcommerce.com/s-f6vfspkkjf/images/stencil/original/products/4656/19578/2311-0001-0118__21128__11239.1701979375.jpg?c=1"/>
    <x v="15"/>
    <x v="87"/>
    <n v="29"/>
    <s v="131 MECHATRONICS"/>
    <x v="101"/>
    <x v="1"/>
    <x v="192"/>
    <x v="2"/>
    <x v="12"/>
    <x v="0"/>
  </r>
  <r>
    <n v="132"/>
    <x v="192"/>
    <d v="2022-02-17T12:47:04"/>
    <x v="0"/>
    <x v="0"/>
    <n v="11.95"/>
    <s v="https://cdn11.bigcommerce.com/s-tnsp6i3ma6/images/stencil/original/products/5474/31197/615326__53835.1628006113.jpg?c=2_x000a_"/>
    <x v="15"/>
    <x v="88"/>
    <n v="74"/>
    <s v="132 MECHATRONICS"/>
    <x v="102"/>
    <x v="1"/>
    <x v="193"/>
    <x v="1"/>
    <x v="13"/>
    <x v="0"/>
  </r>
  <r>
    <n v="133"/>
    <x v="193"/>
    <d v="2022-02-17T12:52:15"/>
    <x v="0"/>
    <x v="0"/>
    <n v="10.27"/>
    <s v="https://cdn11.bigcommerce.com/s-tnsp6i3ma6/images/stencil/original/products/2825/19981/545612__95709.1583253433.jpg?c=2_x000a_"/>
    <x v="5"/>
    <x v="89"/>
    <n v="26"/>
    <s v="133 MECHATRONICS"/>
    <x v="103"/>
    <x v="1"/>
    <x v="194"/>
    <x v="2"/>
    <x v="12"/>
    <x v="0"/>
  </r>
  <r>
    <n v="134"/>
    <x v="194"/>
    <d v="2022-02-17T12:57:28"/>
    <x v="0"/>
    <x v="0"/>
    <n v="9.93"/>
    <s v="https://cdn11.bigcommerce.com/s-tnsp6i3ma6/images/stencil/800w/products/2917/22373/595738__35941.1589310121.jpg?c=2_x000a_"/>
    <x v="13"/>
    <x v="90"/>
    <n v="15"/>
    <s v="134 MECHATRONICS"/>
    <x v="104"/>
    <x v="1"/>
    <x v="195"/>
    <x v="2"/>
    <x v="14"/>
    <x v="0"/>
  </r>
  <r>
    <n v="135"/>
    <x v="195"/>
    <d v="2022-02-17T14:30:53"/>
    <x v="0"/>
    <x v="0"/>
    <n v="11.62"/>
    <s v="https://cdn11.bigcommerce.com/s-tnsp6i3ma6/images/stencil/original/products/5369/31312/RHA32-36-96__47622.1628021390.jpg?c=2_x000a_"/>
    <x v="15"/>
    <x v="91"/>
    <n v="59"/>
    <s v="135 MECHATRONICS"/>
    <x v="105"/>
    <x v="1"/>
    <x v="196"/>
    <x v="1"/>
    <x v="11"/>
    <x v="0"/>
  </r>
  <r>
    <n v="136"/>
    <x v="196"/>
    <d v="2022-02-17T14:42:58"/>
    <x v="0"/>
    <x v="0"/>
    <n v="7.1"/>
    <s v="https://cdn11.bigcommerce.com/s-tnsp6i3ma6/images/stencil/800w/products/7845/20018/525125__54909.1583426176.jpg?c=2_x000a_"/>
    <x v="5"/>
    <x v="92"/>
    <n v="75"/>
    <s v="136 MECHATRONICS"/>
    <x v="106"/>
    <x v="1"/>
    <x v="197"/>
    <x v="1"/>
    <x v="13"/>
    <x v="0"/>
  </r>
  <r>
    <n v="137"/>
    <x v="197"/>
    <d v="2022-02-17T16:19:15"/>
    <x v="0"/>
    <x v="0"/>
    <n v="8.9700000000000006"/>
    <s v="https://cdn11.bigcommerce.com/s-tnsp6i3ma6/images/stencil/original/products/4604/22048/B375-200XL__07385.1588174813.jpg?c=2_x000a_"/>
    <x v="16"/>
    <x v="93"/>
    <n v="15"/>
    <s v="137 MECHATRONICS"/>
    <x v="107"/>
    <x v="1"/>
    <x v="198"/>
    <x v="2"/>
    <x v="15"/>
    <x v="0"/>
  </r>
  <r>
    <n v="138"/>
    <x v="198"/>
    <d v="2022-02-17T16:37:51"/>
    <x v="0"/>
    <x v="0"/>
    <n v="8.43"/>
    <s v="https://cdn11.bigcommerce.com/s-tnsp6i3ma6/images/stencil/800w/products/3095/19996/545572__79763.1583360605.jpg?c=2_x000a_"/>
    <x v="5"/>
    <x v="94"/>
    <n v="91"/>
    <s v="138 MECHATRONICS"/>
    <x v="108"/>
    <x v="1"/>
    <x v="199"/>
    <x v="1"/>
    <x v="1"/>
    <x v="0"/>
  </r>
  <r>
    <n v="139"/>
    <x v="199"/>
    <d v="2022-02-17T16:49:22"/>
    <x v="0"/>
    <x v="0"/>
    <n v="13.1"/>
    <s v="https://cdn11.bigcommerce.com/s-tnsp6i3ma6/images/stencil/800w/products/5689/19617/615394-Ang_2__13299.1582660836.jpg?c=2_x000a_"/>
    <x v="16"/>
    <x v="95"/>
    <n v="20"/>
    <s v="139 MECHATRONICS"/>
    <x v="109"/>
    <x v="1"/>
    <x v="200"/>
    <x v="2"/>
    <x v="14"/>
    <x v="0"/>
  </r>
  <r>
    <n v="140"/>
    <x v="200"/>
    <d v="2022-02-18T09:57:49"/>
    <x v="0"/>
    <x v="0"/>
    <n v="7.38"/>
    <s v="https://cdn11.bigcommerce.com/s-tnsp6i3ma6/images/stencil/800w/products/3083/19995/545568__53457.1583360574.jpg?c=2_x000a_"/>
    <x v="5"/>
    <x v="96"/>
    <n v="100"/>
    <s v="140 MECHATRONICS"/>
    <x v="110"/>
    <x v="1"/>
    <x v="201"/>
    <x v="1"/>
    <x v="1"/>
    <x v="0"/>
  </r>
  <r>
    <n v="141"/>
    <x v="201"/>
    <d v="2022-02-18T14:33:06"/>
    <x v="0"/>
    <x v="0"/>
    <n v="20.96"/>
    <s v="https://cdn11.bigcommerce.com/s-eem7ijc77k/images/stencil/original/products/1291/22218/3501-0804-0650__94512.1534282378.jpg?c=2_x000a_"/>
    <x v="17"/>
    <x v="97"/>
    <n v="6"/>
    <s v="141 MECHATRONICS"/>
    <x v="111"/>
    <x v="1"/>
    <x v="202"/>
    <x v="2"/>
    <x v="16"/>
    <x v="0"/>
  </r>
  <r>
    <n v="142"/>
    <x v="202"/>
    <d v="2022-02-18T16:31:37"/>
    <x v="0"/>
    <x v="0"/>
    <n v="13.46"/>
    <s v="https://cdn11.bigcommerce.com/s-tnsp6i3ma6/images/stencil/800w/products/5012/22136/615424__94003.1588271294.jpg?c=2_x000a_"/>
    <x v="16"/>
    <x v="98"/>
    <n v="60"/>
    <s v="142 MECHATRONICS"/>
    <x v="112"/>
    <x v="1"/>
    <x v="203"/>
    <x v="1"/>
    <x v="9"/>
    <x v="0"/>
  </r>
  <r>
    <n v="143"/>
    <x v="203"/>
    <d v="2022-02-22T10:31:24"/>
    <x v="0"/>
    <x v="0"/>
    <n v="11.97"/>
    <s v="https://m.media-amazon.com/images/I/51j2+OwO8rL._AC_UF894,,1000_QL80_.jpg_x000a_"/>
    <x v="17"/>
    <x v="99"/>
    <n v="22"/>
    <s v="143 MECHATRONICS"/>
    <x v="113"/>
    <x v="1"/>
    <x v="204"/>
    <x v="2"/>
    <x v="12"/>
    <x v="0"/>
  </r>
  <r>
    <n v="144"/>
    <x v="204"/>
    <d v="2022-02-22T12:55:37"/>
    <x v="0"/>
    <x v="0"/>
    <n v="7.45"/>
    <s v="https://cdn11.bigcommerce.com/s-tnsp6i3ma6/images/stencil/800w/products/3769/22358/595721__54981.1589309649.jpg?c=2_x000a_https://cdn11.bigcommerce.com/s-tnsp6i3ma6/images/stencil/800w/products/3769/22358/595721__54981.1589309649.jpg?c=2"/>
    <x v="13"/>
    <x v="100"/>
    <n v="58"/>
    <s v="144 MECHATRONICS"/>
    <x v="114"/>
    <x v="1"/>
    <x v="205"/>
    <x v="1"/>
    <x v="11"/>
    <x v="0"/>
  </r>
  <r>
    <n v="145"/>
    <x v="205"/>
    <d v="2022-02-23T13:22:22"/>
    <x v="0"/>
    <x v="0"/>
    <n v="11.97"/>
    <s v="https://www.krishnaautoelectric.com/blog/wp-content/uploads/2018/04/What-is-a-Timing-Belt.jpg_x000a_"/>
    <x v="16"/>
    <x v="101"/>
    <n v="24"/>
    <s v="145 MECHATRONICS"/>
    <x v="113"/>
    <x v="1"/>
    <x v="206"/>
    <x v="0"/>
    <x v="17"/>
    <x v="0"/>
  </r>
  <r>
    <n v="146"/>
    <x v="206"/>
    <d v="2022-02-23T13:32:50"/>
    <x v="0"/>
    <x v="0"/>
    <n v="6.45"/>
    <s v="https://cdn11.bigcommerce.com/s-tnsp6i3ma6/images/stencil/800w/products/3545/31282/RHA32-36-36__00833.1628016177.jpg?c=2_x000a_https://www.robotshop.com/media/catalog/product/cache/image/1350x/9df78eab33525d08d6e5fb8d27136e95/3/2/32-pitch-36-tooth-delrin-hub-mount-spur-gear.jpg"/>
    <x v="15"/>
    <x v="102"/>
    <n v="59"/>
    <s v="146 MECHATRONICS"/>
    <x v="115"/>
    <x v="1"/>
    <x v="207"/>
    <x v="1"/>
    <x v="11"/>
    <x v="0"/>
  </r>
  <r>
    <n v="147"/>
    <x v="207"/>
    <d v="2022-02-23T13:34:44"/>
    <x v="0"/>
    <x v="0"/>
    <n v="5.8"/>
    <s v="https://cdn11.bigcommerce.com/s-tnsp6i3ma6/images/stencil/800w/products/4872/31331/RSA32-2FS-16__40016.1628023478.jpg?c=2_x000a_https://cdn11.bigcommerce.com/s-tnsp6i3ma6/images/stencil/800w/products/4872/31331/RSA32-2FS-16__40016.1628023478.jpg?c=2"/>
    <x v="15"/>
    <x v="103"/>
    <n v="65"/>
    <s v="147 MECHATRONICS"/>
    <x v="116"/>
    <x v="1"/>
    <x v="208"/>
    <x v="1"/>
    <x v="13"/>
    <x v="0"/>
  </r>
  <r>
    <n v="148"/>
    <x v="208"/>
    <d v="2022-02-23T13:37:30"/>
    <x v="0"/>
    <x v="0"/>
    <n v="11.37"/>
    <s v="https://cdn11.bigcommerce.com/s-eem7ijc77k/images/stencil/original/products/1291/22218/3501-0804-0650__94512.1534282378.jpg?c=2_x000a_https://cdn11.bigcommerce.com/s-eem7ijc77k/images/stencil/original/products/1291/22218/3501-0804-0650__94512.1534282378.jpg?c=2"/>
    <x v="17"/>
    <x v="104"/>
    <n v="16"/>
    <s v="148 MECHATRONICS"/>
    <x v="50"/>
    <x v="1"/>
    <x v="209"/>
    <x v="2"/>
    <x v="14"/>
    <x v="0"/>
  </r>
  <r>
    <n v="149"/>
    <x v="209"/>
    <d v="2022-02-23T13:54:33"/>
    <x v="0"/>
    <x v="0"/>
    <n v="7.48"/>
    <s v="https://cdn11.bigcommerce.com/s-tnsp6i3ma6/images/stencil/original/products/6094/20050/2100-0008-0300__48262.1583525050.jpg?c=2_x000a_"/>
    <x v="18"/>
    <x v="105"/>
    <n v="36"/>
    <s v="149 MECHATRONICS"/>
    <x v="117"/>
    <x v="1"/>
    <x v="210"/>
    <x v="1"/>
    <x v="18"/>
    <x v="0"/>
  </r>
  <r>
    <n v="150"/>
    <x v="210"/>
    <d v="2022-02-23T14:09:49"/>
    <x v="0"/>
    <x v="0"/>
    <n v="3.83"/>
    <s v="https://cdn11.bigcommerce.com/s-tnsp6i3ma6/images/stencil/original/products/6094/20050/2100-0008-0300__48262.1583525050.jpg?c=2_x000a_"/>
    <x v="18"/>
    <x v="106"/>
    <n v="46"/>
    <s v="150 MECHATRONICS"/>
    <x v="118"/>
    <x v="1"/>
    <x v="211"/>
    <x v="1"/>
    <x v="8"/>
    <x v="0"/>
  </r>
  <r>
    <n v="151"/>
    <x v="211"/>
    <d v="2022-02-23T15:20:41"/>
    <x v="0"/>
    <x v="0"/>
    <n v="13.46"/>
    <s v="https://cdn11.bigcommerce.com/s-f6vfspkkjf/images/stencil/original/products/1243/4519/615420__15809__15094.1701974097.jpg?c=1_x000a_https://cdn11.bigcommerce.com/s-f6vfspkkjf/images/stencil/original/products/1243/4519/615420__15809__15094.1701974097.jpg?c=1"/>
    <x v="16"/>
    <x v="107"/>
    <n v="15"/>
    <s v="151 MECHATRONICS"/>
    <x v="112"/>
    <x v="1"/>
    <x v="212"/>
    <x v="2"/>
    <x v="9"/>
    <x v="0"/>
  </r>
  <r>
    <n v="152"/>
    <x v="212"/>
    <d v="2022-02-23T16:00:58"/>
    <x v="0"/>
    <x v="0"/>
    <n v="3.07"/>
    <s v="https://cdn11.bigcommerce.com/s-tnsp6i3ma6/images/stencil/original/products/6094/20050/2100-0008-0300__48262.1583525050.jpg?c=2_x000a_"/>
    <x v="18"/>
    <x v="108"/>
    <n v="46"/>
    <s v="152 MECHATRONICS"/>
    <x v="119"/>
    <x v="1"/>
    <x v="213"/>
    <x v="1"/>
    <x v="8"/>
    <x v="0"/>
  </r>
  <r>
    <n v="153"/>
    <x v="213"/>
    <d v="2022-02-23T16:07:17"/>
    <x v="0"/>
    <x v="0"/>
    <n v="7.47"/>
    <s v="https://cdn11.bigcommerce.com/s-tnsp6i3ma6/images/stencil/original/products/3356/22243/625228__83623.1588277396.jpg?c=2_x000a_"/>
    <x v="5"/>
    <x v="109"/>
    <n v="9"/>
    <s v="153 MECHATRONICS"/>
    <x v="120"/>
    <x v="1"/>
    <x v="214"/>
    <x v="2"/>
    <x v="14"/>
    <x v="0"/>
  </r>
  <r>
    <n v="154"/>
    <x v="214"/>
    <d v="2022-02-23T16:11:03"/>
    <x v="0"/>
    <x v="0"/>
    <n v="7.47"/>
    <s v="https://cdn11.bigcommerce.com/s-tnsp6i3ma6/images/stencil/original/products/3334/22238/625224__74002.1588277334.jpg?c=2_x000a_"/>
    <x v="5"/>
    <x v="110"/>
    <n v="17"/>
    <s v="154 MECHATRONICS"/>
    <x v="120"/>
    <x v="1"/>
    <x v="215"/>
    <x v="2"/>
    <x v="14"/>
    <x v="0"/>
  </r>
  <r>
    <n v="155"/>
    <x v="215"/>
    <d v="2022-02-23T16:20:20"/>
    <x v="0"/>
    <x v="0"/>
    <n v="7.47"/>
    <s v="https://cdn11.bigcommerce.com/s-tnsp6i3ma6/images/stencil/800w/products/3260/22232/625218__27435.1588277198.jpg?c=2_x000a_"/>
    <x v="5"/>
    <x v="111"/>
    <n v="19"/>
    <s v="155 MECHATRONICS"/>
    <x v="120"/>
    <x v="1"/>
    <x v="216"/>
    <x v="2"/>
    <x v="14"/>
    <x v="0"/>
  </r>
  <r>
    <n v="156"/>
    <x v="216"/>
    <d v="2022-02-23T16:33:34"/>
    <x v="0"/>
    <x v="0"/>
    <n v="7.47"/>
    <s v="https://cdn11.bigcommerce.com/s-tnsp6i3ma6/images/stencil/800w/products/3260/22232/625218__27435.1588277198.jpg?c=2_x000a_"/>
    <x v="5"/>
    <x v="112"/>
    <n v="19"/>
    <s v="156 MECHATRONICS"/>
    <x v="120"/>
    <x v="1"/>
    <x v="217"/>
    <x v="2"/>
    <x v="14"/>
    <x v="0"/>
  </r>
  <r>
    <n v="158"/>
    <x v="217"/>
    <d v="2022-03-19T17:39:03"/>
    <x v="0"/>
    <x v="0"/>
    <n v="15.65"/>
    <s v="https://media.digikey.com/Photos/Newhaven%20Display%20Photos/MFG_NHD-0216BZ-FL-YBW.jpg_x000a_"/>
    <x v="19"/>
    <x v="113"/>
    <n v="221"/>
    <s v="158 MECHATRONICS"/>
    <x v="121"/>
    <x v="1"/>
    <x v="218"/>
    <x v="1"/>
    <x v="6"/>
    <x v="0"/>
  </r>
  <r>
    <n v="164"/>
    <x v="218"/>
    <d v="2022-03-19T18:00:41"/>
    <x v="0"/>
    <x v="0"/>
    <n v="25.27"/>
    <s v="https://media.digikey.com/Photos/Sparkfun%20Elec%20%20Photos/MFG_SEN-17871.jpg_x000a_https://media.digikey.com/Photos/Sparkfun%20Elec%20%20Photos/MFG_SEN-17871.jpg"/>
    <x v="3"/>
    <x v="114"/>
    <n v="44"/>
    <s v="164 MECHATRONICS"/>
    <x v="122"/>
    <x v="1"/>
    <x v="219"/>
    <x v="1"/>
    <x v="6"/>
    <x v="0"/>
  </r>
  <r>
    <n v="165"/>
    <x v="219"/>
    <d v="2022-03-21T12:06:39"/>
    <x v="0"/>
    <x v="0"/>
    <n v="66.16"/>
    <s v="https://cdn-shop.adafruit.com/970x728/464-00.jpg_x000a_"/>
    <x v="3"/>
    <x v="115"/>
    <n v="9"/>
    <s v="165 MECHATRONICS"/>
    <x v="123"/>
    <x v="1"/>
    <x v="220"/>
    <x v="2"/>
    <x v="6"/>
    <x v="0"/>
  </r>
  <r>
    <n v="167"/>
    <x v="220"/>
    <d v="2022-03-21T12:11:20"/>
    <x v="0"/>
    <x v="0"/>
    <n v="19.3"/>
    <s v="https://canada.newark.com/productimages/standard/en_GB/3528437-40.jpg_x000a_https://canada.newark.com/productimages/standard/en_GB/3528437-40.jpg"/>
    <x v="3"/>
    <x v="116"/>
    <n v="81"/>
    <s v="167 MECHATRONICS"/>
    <x v="124"/>
    <x v="1"/>
    <x v="221"/>
    <x v="1"/>
    <x v="6"/>
    <x v="0"/>
  </r>
  <r>
    <n v="168"/>
    <x v="221"/>
    <d v="2022-03-21T12:15:14"/>
    <x v="0"/>
    <x v="0"/>
    <n v="12.93"/>
    <s v="https://media.digikey.com/Photos/Seeed%20Technology%20Ltd/101020055.jpg_x000a_https://media.digikey.com/Photos/Seeed%20Technology%20Ltd/101020055.jpg"/>
    <x v="3"/>
    <x v="117"/>
    <n v="46"/>
    <s v="168 MECHATRONICS"/>
    <x v="125"/>
    <x v="1"/>
    <x v="222"/>
    <x v="1"/>
    <x v="6"/>
    <x v="0"/>
  </r>
  <r>
    <n v="170"/>
    <x v="222"/>
    <d v="2022-03-21T12:39:28"/>
    <x v="0"/>
    <x v="0"/>
    <n v="10.130000000000001"/>
    <s v="https://canada.newark.com/productimages/standard/en_US/02AH9092-40.jpg_x000a_"/>
    <x v="3"/>
    <x v="118"/>
    <n v="98"/>
    <s v="170 MECHATRONICS"/>
    <x v="126"/>
    <x v="1"/>
    <x v="223"/>
    <x v="1"/>
    <x v="6"/>
    <x v="0"/>
  </r>
  <r>
    <n v="171"/>
    <x v="223"/>
    <d v="2022-03-21T12:40:58"/>
    <x v="0"/>
    <x v="0"/>
    <n v="17.36"/>
    <s v="https://canada.newark.com/productimages/standard/en_US/51AC1049-40.jpg_x000a_"/>
    <x v="3"/>
    <x v="119"/>
    <n v="7"/>
    <s v="171 MECHATRONICS"/>
    <x v="127"/>
    <x v="1"/>
    <x v="224"/>
    <x v="1"/>
    <x v="6"/>
    <x v="0"/>
  </r>
  <r>
    <n v="172"/>
    <x v="224"/>
    <d v="2022-03-21T12:52:42"/>
    <x v="0"/>
    <x v="0"/>
    <n v="0.65"/>
    <s v="https://canada.newark.com/productimages/standard/en_US/5033309.jpg_x000a_"/>
    <x v="3"/>
    <x v="120"/>
    <n v="485"/>
    <s v="172 MECHATRONICS"/>
    <x v="128"/>
    <x v="1"/>
    <x v="225"/>
    <x v="3"/>
    <x v="4"/>
    <x v="0"/>
  </r>
  <r>
    <n v="173"/>
    <x v="225"/>
    <d v="2022-03-21T12:53:55"/>
    <x v="0"/>
    <x v="0"/>
    <n v="8.59"/>
    <s v="https://canada.newark.com/productimages/standard/en_US/24K0631-40.jpg_x000a_"/>
    <x v="3"/>
    <x v="121"/>
    <n v="91"/>
    <s v="173 MECHATRONICS"/>
    <x v="129"/>
    <x v="1"/>
    <x v="226"/>
    <x v="3"/>
    <x v="1"/>
    <x v="0"/>
  </r>
  <r>
    <n v="174"/>
    <x v="226"/>
    <d v="2022-03-21T12:55:41"/>
    <x v="0"/>
    <x v="0"/>
    <n v="6.49"/>
    <s v="https://media.digikey.com/Photos/TT%20Electronics-Optek%20Photos/OPB100-EZ.jpg_x000a_"/>
    <x v="3"/>
    <x v="122"/>
    <n v="48"/>
    <s v="174 MECHATRONICS"/>
    <x v="130"/>
    <x v="1"/>
    <x v="227"/>
    <x v="3"/>
    <x v="8"/>
    <x v="0"/>
  </r>
  <r>
    <n v="175"/>
    <x v="227"/>
    <d v="2022-03-21T12:59:24"/>
    <x v="0"/>
    <x v="0"/>
    <n v="36.15"/>
    <s v="https://cdn-learn.adafruit.com/assets/assets/000/052/638/original/light_3779_iso_ORIG_2018_03.jpg?1522268114_x000a_https://cdn-learn.adafruit.com/assets/assets/000/052/638/original/light_3779_iso_ORIG_2018_03.jpg?1522268114"/>
    <x v="3"/>
    <x v="123"/>
    <n v="92"/>
    <s v="175 MECHATRONICS"/>
    <x v="131"/>
    <x v="1"/>
    <x v="228"/>
    <x v="1"/>
    <x v="6"/>
    <x v="0"/>
  </r>
  <r>
    <n v="176"/>
    <x v="228"/>
    <d v="2022-03-21T13:00:20"/>
    <x v="0"/>
    <x v="0"/>
    <n v="0.81"/>
    <s v="https://media.digikey.com/photos/Diodes%20Photos/AH1806-P-B.JPG_x000a_"/>
    <x v="3"/>
    <x v="124"/>
    <n v="492"/>
    <s v="176 MECHATRONICS"/>
    <x v="132"/>
    <x v="1"/>
    <x v="229"/>
    <x v="1"/>
    <x v="4"/>
    <x v="0"/>
  </r>
  <r>
    <n v="178"/>
    <x v="229"/>
    <d v="2022-03-21T13:11:16"/>
    <x v="0"/>
    <x v="0"/>
    <n v="7.63"/>
    <s v="https://canada.newark.com/productimages/standard/en_US/3772519.jpg_x000a_"/>
    <x v="3"/>
    <x v="125"/>
    <n v="94"/>
    <s v="178 MECHATRONICS"/>
    <x v="58"/>
    <x v="1"/>
    <x v="230"/>
    <x v="3"/>
    <x v="1"/>
    <x v="0"/>
  </r>
  <r>
    <n v="179"/>
    <x v="230"/>
    <d v="2022-03-21T13:14:46"/>
    <x v="0"/>
    <x v="0"/>
    <n v="6.74"/>
    <s v="https://assets.alliedelec.com/f_auto,,q_auto,,c_scale,,w_400/70973865.jpg_x000a_"/>
    <x v="2"/>
    <x v="126"/>
    <n v="73"/>
    <s v="179 MECHATRONICS"/>
    <x v="133"/>
    <x v="1"/>
    <x v="231"/>
    <x v="1"/>
    <x v="19"/>
    <x v="0"/>
  </r>
  <r>
    <n v="183"/>
    <x v="231"/>
    <d v="2022-03-21T15:24:59"/>
    <x v="0"/>
    <x v="0"/>
    <n v="12.5"/>
    <s v="https://media.digikey.com/Photos/Seeed%20Technology%20Ltd/MFG_114991177.jpg_x000a_"/>
    <x v="3"/>
    <x v="127"/>
    <n v="47"/>
    <s v="183 MECHATRONICS"/>
    <x v="134"/>
    <x v="1"/>
    <x v="232"/>
    <x v="3"/>
    <x v="8"/>
    <x v="0"/>
  </r>
  <r>
    <n v="184"/>
    <x v="232"/>
    <d v="2022-03-21T15:30:46"/>
    <x v="0"/>
    <x v="0"/>
    <n v="7.83"/>
    <s v="https://canada.newark.com/productimages/standard/en_US/32AC9977-40.jpg_x000a_"/>
    <x v="10"/>
    <x v="128"/>
    <n v="79"/>
    <s v="184 MECHATRONICS"/>
    <x v="135"/>
    <x v="1"/>
    <x v="233"/>
    <x v="1"/>
    <x v="3"/>
    <x v="0"/>
  </r>
  <r>
    <n v="185"/>
    <x v="233"/>
    <d v="2022-03-21T15:32:13"/>
    <x v="0"/>
    <x v="0"/>
    <n v="5.0999999999999996"/>
    <s v="https://canada.newark.com/productimages/standard/en_US/5033265.jpg_x000a_"/>
    <x v="19"/>
    <x v="129"/>
    <n v="94"/>
    <s v="185 MECHATRONICS"/>
    <x v="136"/>
    <x v="1"/>
    <x v="234"/>
    <x v="3"/>
    <x v="1"/>
    <x v="0"/>
  </r>
  <r>
    <n v="186"/>
    <x v="234"/>
    <d v="2022-03-21T15:33:17"/>
    <x v="0"/>
    <x v="0"/>
    <m/>
    <s v="https://canada.newark.com/productimages/standard/en_US/16T0609-40.jpg_x000a_"/>
    <x v="2"/>
    <x v="130"/>
    <n v="400"/>
    <s v="186 MECHATRONICS"/>
    <x v="26"/>
    <x v="1"/>
    <x v="235"/>
    <x v="1"/>
    <x v="6"/>
    <x v="0"/>
  </r>
  <r>
    <n v="187"/>
    <x v="235"/>
    <d v="2022-03-25T12:51:46"/>
    <x v="0"/>
    <x v="0"/>
    <n v="12.01"/>
    <s v="https://www.mouser.ca/images/seeedstudios/lrg/112990066_DSL.jpg_x000a_"/>
    <x v="11"/>
    <x v="12"/>
    <n v="10"/>
    <s v="187 MECHATRONICS"/>
    <x v="137"/>
    <x v="1"/>
    <x v="236"/>
    <x v="2"/>
    <x v="14"/>
    <x v="0"/>
  </r>
  <r>
    <n v="188"/>
    <x v="236"/>
    <d v="2022-05-19T16:57:36"/>
    <x v="0"/>
    <x v="0"/>
    <n v="1.85"/>
    <s v="https://media.digikey.com/Photos/TT%20Electronics%20BI/EN11-HSM1BF20.jpg_x000a_"/>
    <x v="2"/>
    <x v="131"/>
    <n v="20"/>
    <s v="188 MECHATRONICS"/>
    <x v="37"/>
    <x v="1"/>
    <x v="237"/>
    <x v="2"/>
    <x v="1"/>
    <x v="0"/>
  </r>
  <r>
    <n v="189"/>
    <x v="237"/>
    <d v="2022-05-19T17:06:41"/>
    <x v="0"/>
    <x v="0"/>
    <n v="37.25"/>
    <s v="https://media.digikey.com/Photos/Pimoroni%20Photos/MFG_PIM357.jpg_x000a_"/>
    <x v="3"/>
    <x v="132"/>
    <n v="95"/>
    <s v="189 MECHATRONICS"/>
    <x v="138"/>
    <x v="1"/>
    <x v="238"/>
    <x v="1"/>
    <x v="1"/>
    <x v="0"/>
  </r>
  <r>
    <n v="190"/>
    <x v="238"/>
    <d v="2022-05-26T15:03:15"/>
    <x v="0"/>
    <x v="0"/>
    <n v="8.49"/>
    <s v="https://media.digikey.com/Photos/Sparkfun%20Elec%20%20Photos/MFG_ROB-11015.jpg_x000a_"/>
    <x v="2"/>
    <x v="133"/>
    <n v="94"/>
    <s v="190 MECHATRONICS"/>
    <x v="139"/>
    <x v="1"/>
    <x v="239"/>
    <x v="1"/>
    <x v="1"/>
    <x v="0"/>
  </r>
  <r>
    <n v="192"/>
    <x v="239"/>
    <d v="2022-05-26T15:21:26"/>
    <x v="0"/>
    <x v="0"/>
    <n v="8.4"/>
    <s v="https://dfimg.dfrobot.com/store/data/DFR0379-2.jpg_x000a_https://dfimg.dfrobot.com/store/data/DFR0379-2.jpg"/>
    <x v="1"/>
    <x v="134"/>
    <n v="57"/>
    <s v="192 MECHATRONICS"/>
    <x v="140"/>
    <x v="1"/>
    <x v="240"/>
    <x v="1"/>
    <x v="20"/>
    <x v="0"/>
  </r>
  <r>
    <n v="193"/>
    <x v="240"/>
    <d v="2022-07-11T14:05:41"/>
    <x v="0"/>
    <x v="0"/>
    <n v="8.4"/>
    <s v="https://www.mouser.ca/images/seeedstudios/images/113990010_SPL.jpg_x000a_"/>
    <x v="11"/>
    <x v="135"/>
    <n v="8"/>
    <s v="193 MECHATRONICS"/>
    <x v="140"/>
    <x v="1"/>
    <x v="241"/>
    <x v="2"/>
    <x v="16"/>
    <x v="0"/>
  </r>
  <r>
    <n v="196"/>
    <x v="241"/>
    <d v="2022-09-01T15:06:14"/>
    <x v="0"/>
    <x v="0"/>
    <n v="1"/>
    <s v="https://i5.walmartimages.com/asr/b9dd7f5d-cb41-4e08-bf94-c92092b554ef_1.ed273909102ad360ac7fb09a9b71c57d.jpeg_x000a_"/>
    <x v="14"/>
    <x v="12"/>
    <n v="230"/>
    <s v="196 MECHATRONICS"/>
    <x v="21"/>
    <x v="1"/>
    <x v="242"/>
    <x v="1"/>
    <x v="19"/>
    <x v="0"/>
  </r>
  <r>
    <n v="197"/>
    <x v="242"/>
    <d v="2022-09-01T15:10:06"/>
    <x v="0"/>
    <x v="0"/>
    <n v="1.3"/>
    <s v="https://i5.walmartimages.com/asr/b9dd7f5d-cb41-4e08-bf94-c92092b554ef_1.ed273909102ad360ac7fb09a9b71c57d.jpeg_x000a_"/>
    <x v="14"/>
    <x v="12"/>
    <n v="52"/>
    <s v="197 MECHATRONICS"/>
    <x v="141"/>
    <x v="1"/>
    <x v="243"/>
    <x v="1"/>
    <x v="21"/>
    <x v="0"/>
  </r>
  <r>
    <n v="198"/>
    <x v="243"/>
    <d v="2022-09-01T15:21:52"/>
    <x v="0"/>
    <x v="0"/>
    <n v="0.75"/>
    <s v="https://media.digikey.com/photos/Keystone%20Elect%20Photos/4816.jpg_x000a_"/>
    <x v="14"/>
    <x v="136"/>
    <n v="30"/>
    <s v="198 MECHATRONICS"/>
    <x v="142"/>
    <x v="1"/>
    <x v="244"/>
    <x v="1"/>
    <x v="14"/>
    <x v="0"/>
  </r>
  <r>
    <n v="203"/>
    <x v="244"/>
    <d v="2022-09-27T17:20:01"/>
    <x v="0"/>
    <x v="0"/>
    <n v="145.66"/>
    <s v="https://m.media-amazon.com/images/I/61UxXkn1oAL._AC_SX425_.jpg_x000a_"/>
    <x v="20"/>
    <x v="12"/>
    <n v="3"/>
    <s v="203 MECHATRONICS"/>
    <x v="143"/>
    <x v="1"/>
    <x v="245"/>
    <x v="2"/>
    <x v="22"/>
    <x v="0"/>
  </r>
  <r>
    <n v="280"/>
    <x v="245"/>
    <d v="2022-11-08T16:35:00"/>
    <x v="0"/>
    <x v="0"/>
    <n v="17.07"/>
    <s v="https://cdn-shop.adafruit.com/970x728/4201-03.jpg_x000a_"/>
    <x v="11"/>
    <x v="137"/>
    <n v="88"/>
    <s v="280 MECHATRONICS"/>
    <x v="64"/>
    <x v="1"/>
    <x v="246"/>
    <x v="1"/>
    <x v="23"/>
    <x v="0"/>
  </r>
  <r>
    <n v="281"/>
    <x v="246"/>
    <d v="2022-11-08T16:48:04"/>
    <x v="0"/>
    <x v="0"/>
    <n v="6.77"/>
    <s v="https://cdn-shop.adafruit.com/480x360/4630-01.jpg_x000a_"/>
    <x v="3"/>
    <x v="138"/>
    <n v="40"/>
    <s v="281 MECHATRONICS"/>
    <x v="144"/>
    <x v="1"/>
    <x v="247"/>
    <x v="1"/>
    <x v="8"/>
    <x v="0"/>
  </r>
  <r>
    <n v="282"/>
    <x v="247"/>
    <d v="2022-11-08T17:51:51"/>
    <x v="0"/>
    <x v="0"/>
    <n v="17.07"/>
    <s v="https://m.media-amazon.com/images/I/61elnrlU1rL.jpg_x000a_"/>
    <x v="2"/>
    <x v="139"/>
    <n v="78"/>
    <s v="282 MECHATRONICS"/>
    <x v="64"/>
    <x v="1"/>
    <x v="248"/>
    <x v="1"/>
    <x v="19"/>
    <x v="0"/>
  </r>
  <r>
    <n v="283"/>
    <x v="248"/>
    <d v="2022-11-09T15:51:18"/>
    <x v="0"/>
    <x v="0"/>
    <n v="3.34"/>
    <s v="https://cdn.sparkfun.com//assets/parts/7/8/6/0/11696-01.jpg_x000a_"/>
    <x v="10"/>
    <x v="140"/>
    <n v="88"/>
    <s v="283 MECHATRONICS"/>
    <x v="145"/>
    <x v="1"/>
    <x v="249"/>
    <x v="1"/>
    <x v="1"/>
    <x v="0"/>
  </r>
  <r>
    <n v="284"/>
    <x v="249"/>
    <d v="2022-11-09T16:03:04"/>
    <x v="0"/>
    <x v="0"/>
    <n v="2.06"/>
    <s v="https://m.media-amazon.com/images/I/51vZRlTDCKL._SX522_.jpg_x000a_"/>
    <x v="10"/>
    <x v="141"/>
    <n v="89"/>
    <s v="284 MECHATRONICS"/>
    <x v="146"/>
    <x v="1"/>
    <x v="250"/>
    <x v="1"/>
    <x v="1"/>
    <x v="0"/>
  </r>
  <r>
    <n v="287"/>
    <x v="250"/>
    <d v="2022-11-10T12:31:55"/>
    <x v="0"/>
    <x v="0"/>
    <n v="2.35"/>
    <s v="https://media.digikey.com/Photos/Seeed%20Technology%20Ltd/MFG_114090050.jpg_x000a_"/>
    <x v="10"/>
    <x v="142"/>
    <n v="190"/>
    <s v="287 MECHATRONICS"/>
    <x v="147"/>
    <x v="1"/>
    <x v="251"/>
    <x v="1"/>
    <x v="3"/>
    <x v="0"/>
  </r>
  <r>
    <n v="288"/>
    <x v="251"/>
    <d v="2022-11-10T12:40:10"/>
    <x v="0"/>
    <x v="0"/>
    <n v="1.1299999999999999"/>
    <s v="https://media.digikey.com/photos/Omron%20Elect%20Photos/D2FS-FL-N.JPG_x000a_"/>
    <x v="2"/>
    <x v="143"/>
    <n v="88"/>
    <s v="288 MECHATRONICS"/>
    <x v="148"/>
    <x v="1"/>
    <x v="252"/>
    <x v="1"/>
    <x v="24"/>
    <x v="0"/>
  </r>
  <r>
    <n v="289"/>
    <x v="252"/>
    <d v="2022-11-10T17:18:25"/>
    <x v="0"/>
    <x v="0"/>
    <n v="3.82"/>
    <s v="https://media.digikey.com/photos/Assmann%20Photos/AK672M%20-%20FIG%2039.jpg_x000a_"/>
    <x v="0"/>
    <x v="144"/>
    <n v="255"/>
    <s v="289 MECHATRONICS"/>
    <x v="149"/>
    <x v="1"/>
    <x v="253"/>
    <x v="1"/>
    <x v="25"/>
    <x v="0"/>
  </r>
  <r>
    <n v="297"/>
    <x v="253"/>
    <d v="2023-01-06T11:41:46"/>
    <x v="0"/>
    <x v="0"/>
    <n v="14.27"/>
    <s v="https://media.digikey.com/Photos/Pimoroni%20Photos/MFG_WPM467.jpg_x000a_"/>
    <x v="1"/>
    <x v="145"/>
    <n v="57"/>
    <s v="297 MECHATRONICS"/>
    <x v="150"/>
    <x v="1"/>
    <x v="254"/>
    <x v="1"/>
    <x v="8"/>
    <x v="0"/>
  </r>
  <r>
    <n v="299"/>
    <x v="254"/>
    <d v="2023-03-15T12:11:51"/>
    <x v="0"/>
    <x v="0"/>
    <n v="11.9"/>
    <s v="https://m.media-amazon.com/images/I/71VS61X4ryL.jpg_x000a_"/>
    <x v="2"/>
    <x v="146"/>
    <n v="33"/>
    <s v="299 MECHATRONICS"/>
    <x v="151"/>
    <x v="1"/>
    <x v="255"/>
    <x v="1"/>
    <x v="6"/>
    <x v="0"/>
  </r>
  <r>
    <n v="301"/>
    <x v="255"/>
    <d v="2023-03-15T15:24:47"/>
    <x v="0"/>
    <x v="0"/>
    <n v="13.5"/>
    <s v="https://media.digikey.com/Photos/TT%20Electronics-Optek%20Photos/OPB100Z.jpg_x000a_"/>
    <x v="3"/>
    <x v="147"/>
    <n v="93"/>
    <s v="301 MECHATRONICS"/>
    <x v="152"/>
    <x v="1"/>
    <x v="256"/>
    <x v="1"/>
    <x v="1"/>
    <x v="0"/>
  </r>
  <r>
    <n v="303"/>
    <x v="256"/>
    <d v="2023-03-16T09:44:38"/>
    <x v="0"/>
    <x v="0"/>
    <n v="51.4"/>
    <s v="https://canada.newark.com/productimages/standard/en_US/10R6733-40.jpg_x000a_"/>
    <x v="2"/>
    <x v="148"/>
    <n v="48"/>
    <s v="303 MECHATRONICS"/>
    <x v="153"/>
    <x v="1"/>
    <x v="257"/>
    <x v="3"/>
    <x v="8"/>
    <x v="0"/>
  </r>
  <r>
    <n v="304"/>
    <x v="257"/>
    <d v="2023-04-01T12:29:26"/>
    <x v="0"/>
    <x v="0"/>
    <n v="10.119999999999999"/>
    <s v="https://cdn-shop.adafruit.com/970x728/169-06.jpg_x000a_https://cdn-shop.adafruit.com/970x728/169-06.jpg"/>
    <x v="10"/>
    <x v="149"/>
    <n v="150"/>
    <s v="304 MECHATRONICS"/>
    <x v="154"/>
    <x v="1"/>
    <x v="258"/>
    <x v="1"/>
    <x v="3"/>
    <x v="0"/>
  </r>
  <r>
    <n v="305"/>
    <x v="258"/>
    <d v="2023-05-03T15:37:41"/>
    <x v="0"/>
    <x v="0"/>
    <n v="6.83"/>
    <s v="https://m.media-amazon.com/images/I/61Rerq6jSoL._AC_SX425_.jpg_x000a_"/>
    <x v="2"/>
    <x v="150"/>
    <n v="15"/>
    <s v="305 MECHATRONICS"/>
    <x v="155"/>
    <x v="1"/>
    <x v="259"/>
    <x v="1"/>
    <x v="14"/>
    <x v="0"/>
  </r>
  <r>
    <n v="306"/>
    <x v="259"/>
    <d v="2023-05-03T15:41:26"/>
    <x v="0"/>
    <x v="0"/>
    <n v="24.85"/>
    <s v="https://m.media-amazon.com/images/I/71JcXb7x9rS._AC_SL1500_.jpg_x000a_"/>
    <x v="2"/>
    <x v="151"/>
    <n v="4"/>
    <s v="306 MECHATRONICS"/>
    <x v="156"/>
    <x v="1"/>
    <x v="260"/>
    <x v="2"/>
    <x v="26"/>
    <x v="0"/>
  </r>
  <r>
    <n v="307"/>
    <x v="260"/>
    <d v="2023-05-03T15:43:56"/>
    <x v="0"/>
    <x v="0"/>
    <n v="44.74"/>
    <s v="https://m.media-amazon.com/images/I/611OQb6ZJFL._AC_SX569_.jpg_x000a_"/>
    <x v="2"/>
    <x v="12"/>
    <n v="4"/>
    <s v="307 MECHATRONICS"/>
    <x v="157"/>
    <x v="1"/>
    <x v="261"/>
    <x v="2"/>
    <x v="26"/>
    <x v="0"/>
  </r>
  <r>
    <n v="308"/>
    <x v="261"/>
    <d v="2023-12-09T14:47:48"/>
    <x v="0"/>
    <x v="0"/>
    <n v="0.76"/>
    <s v="https://mm.digikey.com/Volume0/opasdata/d220001/medias/images/911/PS1240P02AT.jpg_x000a_https://mm.digikey.com/Volume0/opasdata/d220001/medias/images/911/PS1240P02AT.jpg"/>
    <x v="2"/>
    <x v="152"/>
    <n v="450"/>
    <s v="308 MECHATRONICS"/>
    <x v="158"/>
    <x v="1"/>
    <x v="262"/>
    <x v="1"/>
    <x v="4"/>
    <x v="0"/>
  </r>
  <r>
    <n v="312"/>
    <x v="262"/>
    <d v="2024-03-04T14:57:50"/>
    <x v="0"/>
    <x v="0"/>
    <n v="5.59"/>
    <s v="https://mm.digikey.com/Volume0/opasdata/d220001/medias/images/831/MFG_4547.jpg_x000a_"/>
    <x v="10"/>
    <x v="153"/>
    <n v="10"/>
    <s v="312 MECHATRONICS"/>
    <x v="159"/>
    <x v="1"/>
    <x v="263"/>
    <x v="1"/>
    <x v="6"/>
    <x v="0"/>
  </r>
  <r>
    <n v="313"/>
    <x v="263"/>
    <d v="2024-03-04T15:02:28"/>
    <x v="0"/>
    <x v="0"/>
    <n v="17.45"/>
    <s v="https://mm.digikey.com/Volume0/opasdata/d220001/medias/images/4216/MFG_FIT0563.jpg_x000a_"/>
    <x v="10"/>
    <x v="154"/>
    <n v="7"/>
    <s v="313 MECHATRONICS"/>
    <x v="160"/>
    <x v="1"/>
    <x v="264"/>
    <x v="2"/>
    <x v="6"/>
    <x v="0"/>
  </r>
  <r>
    <n v="317"/>
    <x v="264"/>
    <d v="2024-03-21T15:18:19"/>
    <x v="0"/>
    <x v="0"/>
    <n v="4.04"/>
    <s v="https://encrypted-tbn2.gstatic.com/shopping?q=tbn:ANd9GcSPFUwylhaKYqX3gZv2H96vwNqVOPph_6t78HjTg_E_3ffVWMg6ue5Ah5qLXHPhTW9ifKKSaj4vg2WksTnVubRY297cKC7YMxOn_NMcljfpLT6LI6QH8X5a&amp;usqp=CAE_x000a_"/>
    <x v="11"/>
    <x v="155"/>
    <n v="8"/>
    <s v="317 MECHATRONICS"/>
    <x v="161"/>
    <x v="1"/>
    <x v="265"/>
    <x v="2"/>
    <x v="15"/>
    <x v="0"/>
  </r>
  <r>
    <n v="324"/>
    <x v="265"/>
    <d v="2024-10-05T16:56:06"/>
    <x v="0"/>
    <x v="0"/>
    <n v="10.74"/>
    <s v="https://mm.digikey.com/Volume0/opasdata/d220001/medias/images/4187/MFG_SC0918.jpg_x000a_https://mm.digikey.com/Volume0/opasdata/d220001/medias/images/4187/MFG_SC0918.jpg"/>
    <x v="9"/>
    <x v="156"/>
    <n v="120"/>
    <s v="324 MECHATRONICS"/>
    <x v="162"/>
    <x v="1"/>
    <x v="266"/>
    <x v="1"/>
    <x v="27"/>
    <x v="0"/>
  </r>
  <r>
    <n v="325"/>
    <x v="266"/>
    <d v="2024-10-07T14:01:57"/>
    <x v="0"/>
    <x v="0"/>
    <n v="0.85"/>
    <s v="https://m.media-amazon.com/images/I/616XBAL5yAL._SL1500_.jpg_x000a_609 ball bearing"/>
    <x v="21"/>
    <x v="12"/>
    <n v="80"/>
    <s v="325 MECHATRONICS"/>
    <x v="12"/>
    <x v="1"/>
    <x v="267"/>
    <x v="1"/>
    <x v="19"/>
    <x v="0"/>
  </r>
  <r>
    <n v="327"/>
    <x v="37"/>
    <d v="2024-10-09T14:11:22"/>
    <x v="0"/>
    <x v="0"/>
    <n v="0.81"/>
    <s v="https://m.media-amazon.com/images/I/71vpjIS0J7L._AC_SL1500_.jpg_x000a_https://m.media-amazon.com/images/I/71vpjIS0J7L._AC_SL1500_.jpg"/>
    <x v="0"/>
    <x v="12"/>
    <m/>
    <s v="327 MECHATRONICS"/>
    <x v="132"/>
    <x v="1"/>
    <x v="268"/>
    <x v="1"/>
    <x v="27"/>
    <x v="0"/>
  </r>
  <r>
    <n v="328"/>
    <x v="267"/>
    <d v="2024-11-06T15:53:56"/>
    <x v="0"/>
    <x v="0"/>
    <n v="100"/>
    <s v="https://assets.raspberrypi.com/static/f2e9242911c5d63868b22a8f5d3da8a6/9ff6b/bef8cda3-64ea-4098-bf18-8e731a6e9a0d_3b%2B%2BAngle%2B2.webp_x000a_https://assets.raspberrypi.com/static/f2e9242911c5d63868b22a8f5d3da8a6/9ff6b/bef8cda3-64ea-4098-bf18-8e731a6e9a0d_3b%2B%2BAngle%2B2.webp"/>
    <x v="20"/>
    <x v="157"/>
    <m/>
    <s v="328 MECHATRONICS"/>
    <x v="163"/>
    <x v="1"/>
    <x v="269"/>
    <x v="1"/>
    <x v="28"/>
    <x v="0"/>
  </r>
  <r>
    <n v="330"/>
    <x v="268"/>
    <d v="2024-12-03T15:10:44"/>
    <x v="0"/>
    <x v="0"/>
    <n v="4.66"/>
    <s v="https://cdn11.bigcommerce.com/s-am5zt8xfow/images/stencil/1280x1280/products/2233/6036/49_50__24049.1542985284__30673.1591024338.jpg?c=2_x000a_USB C to Micro USB cable"/>
    <x v="0"/>
    <x v="12"/>
    <m/>
    <s v="330 MECHATRONICS"/>
    <x v="164"/>
    <x v="1"/>
    <x v="270"/>
    <x v="1"/>
    <x v="6"/>
    <x v="0"/>
  </r>
  <r>
    <n v="333"/>
    <x v="269"/>
    <d v="2025-03-04T14:28:32"/>
    <x v="0"/>
    <x v="0"/>
    <n v="2.4900000000000002"/>
    <s v="https://cdn11.bigcommerce.com/s-tnsp6i3ma6/images/stencil/original/products/5727/10272/535222_1__53272.1625081339.jpg?c=2_x000a_https://cdn11.bigcommerce.com/s-tnsp6i3ma6/images/stencil/original/products/5727/10272/535222_1__53272.1625081339.jpg?c=2"/>
    <x v="21"/>
    <x v="12"/>
    <n v="60"/>
    <s v="333 MECHATRONICS"/>
    <x v="52"/>
    <x v="1"/>
    <x v="271"/>
    <x v="1"/>
    <x v="6"/>
    <x v="0"/>
  </r>
  <r>
    <n v="334"/>
    <x v="270"/>
    <d v="2025-03-04T14:34:08"/>
    <x v="0"/>
    <x v="0"/>
    <n v="9.1999999999999993"/>
    <s v="https://cdn11.bigcommerce.com/s-tnsp6i3ma6/images/stencil/original/products/5171/10094/6031k17_turntable_600px__78081.1568244313.jpg?c=2_x000a_https://cdn11.bigcommerce.com/s-tnsp6i3ma6/images/stencil/original/products/5171/10094/6031k17_turntable_600px__78081.1568244313.jpg?c=2"/>
    <x v="21"/>
    <x v="12"/>
    <n v="20"/>
    <s v="334 MECHATRONICS"/>
    <x v="165"/>
    <x v="1"/>
    <x v="272"/>
    <x v="1"/>
    <x v="6"/>
    <x v="0"/>
  </r>
  <r>
    <n v="335"/>
    <x v="271"/>
    <d v="2025-03-04T14:35:13"/>
    <x v="0"/>
    <x v="0"/>
    <n v="7.47"/>
    <s v="https://cdn11.bigcommerce.com/s-tnsp6i3ma6/images/stencil/original/products/6196/19769/1612-0815-0024__91360.1582670016.jpg?c=2_x000a_https://cdn11.bigcommerce.com/s-tnsp6i3ma6/images/stencil/original/products/6196/19769/1612-0815-0024__91360.1582670016.jpg?c=2"/>
    <x v="21"/>
    <x v="158"/>
    <n v="30"/>
    <s v="335 MECHATRONICS"/>
    <x v="120"/>
    <x v="1"/>
    <x v="273"/>
    <x v="1"/>
    <x v="6"/>
    <x v="0"/>
  </r>
  <r>
    <n v="336"/>
    <x v="272"/>
    <d v="2025-03-04T14:36:01"/>
    <x v="0"/>
    <x v="0"/>
    <n v="2.84"/>
    <s v="https://cdn11.bigcommerce.com/s-tnsp6i3ma6/images/stencil/original/products/5560/9830/535218_1__92759.1625080279.jpg?c=2_x000a_https://cdn11.bigcommerce.com/s-tnsp6i3ma6/images/stencil/original/products/5560/9830/535218_1__92759.1625080279.jpg?c=2"/>
    <x v="21"/>
    <x v="12"/>
    <n v="29"/>
    <s v="336 MECHATRONICS"/>
    <x v="166"/>
    <x v="1"/>
    <x v="274"/>
    <x v="0"/>
    <x v="6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">
  <r>
    <x v="0"/>
    <n v="25"/>
    <x v="0"/>
    <s v="https://ae01.alicdn.com/kf/H8f43e6d09bf84d46b435f096221821a93.jpg_x000a_"/>
    <x v="0"/>
    <x v="0"/>
    <x v="0"/>
    <x v="0"/>
    <x v="0"/>
    <x v="0"/>
    <x v="0"/>
  </r>
  <r>
    <x v="1"/>
    <n v="242"/>
    <x v="1"/>
    <s v="https://ae01.alicdn.com/kf/HTB1lqkUQZfpK1RjSZFOq6y6nFXaK.jpg_x000a_"/>
    <x v="1"/>
    <x v="1"/>
    <x v="1"/>
    <x v="0"/>
    <x v="1"/>
    <x v="0"/>
    <x v="0"/>
  </r>
  <r>
    <x v="2"/>
    <n v="285"/>
    <x v="2"/>
    <s v="https://ae01.alicdn.com/kf/HTB1z8x2JFXXXXXCXpXXq6xXFXXXZ.jpg_x000a_"/>
    <x v="2"/>
    <x v="2"/>
    <x v="2"/>
    <x v="1"/>
    <x v="2"/>
    <x v="0"/>
    <x v="0"/>
  </r>
  <r>
    <x v="3"/>
    <n v="16"/>
    <x v="3"/>
    <s v="https://ae01.alicdn.com/kf/HTB1hYwNRVXXXXb_XXXXq6xXFXXXe.jpg?size=208602&amp;height=1000&amp;width=1000&amp;hash=e1d5516e32b6bd478ad2ef4c90d1cc89_x000a_"/>
    <x v="3"/>
    <x v="2"/>
    <x v="3"/>
    <x v="2"/>
    <x v="3"/>
    <x v="0"/>
    <x v="0"/>
  </r>
  <r>
    <x v="4"/>
    <n v="3"/>
    <x v="4"/>
    <s v="https://sc01.alicdn.com/kf/HTB1BcQnRXXXXXarapXXq6xXFXXXw/CJMCU-34725-TCS34725-Color-Sensor-RGB-color.jpg_350x350.jpg_x000a_"/>
    <x v="4"/>
    <x v="3"/>
    <x v="4"/>
    <x v="2"/>
    <x v="4"/>
    <x v="0"/>
    <x v="0"/>
  </r>
  <r>
    <x v="5"/>
    <n v="74"/>
    <x v="5"/>
    <s v="https://ae01.alicdn.com/kf/HTB1we37aYys3KVjSZFnq6xFzpXas.jpg_x000a_"/>
    <x v="4"/>
    <x v="4"/>
    <x v="5"/>
    <x v="0"/>
    <x v="5"/>
    <x v="0"/>
    <x v="0"/>
  </r>
  <r>
    <x v="6"/>
    <n v="36"/>
    <x v="6"/>
    <s v="https://ae01.alicdn.com/kf/HTB1.NbKayzxK1RkSnaVq6xn9VXaH.jpg_x000a_"/>
    <x v="5"/>
    <x v="5"/>
    <x v="6"/>
    <x v="0"/>
    <x v="6"/>
    <x v="0"/>
    <x v="0"/>
  </r>
  <r>
    <x v="7"/>
    <m/>
    <x v="7"/>
    <s v="https://ae01.alicdn.com/kf/HTB1QvsFXOfrK1RjSspbq6A4pFXat.jpg_x000a_"/>
    <x v="6"/>
    <x v="6"/>
    <x v="7"/>
    <x v="1"/>
    <x v="7"/>
    <x v="0"/>
    <x v="0"/>
  </r>
  <r>
    <x v="8"/>
    <n v="43"/>
    <x v="8"/>
    <s v="https://ae01.alicdn.com/kf/HTB1CZhSKAOWBuNjSsppq6xPgpXa7.jpg_x000a_"/>
    <x v="3"/>
    <x v="2"/>
    <x v="8"/>
    <x v="0"/>
    <x v="8"/>
    <x v="0"/>
    <x v="0"/>
  </r>
  <r>
    <x v="9"/>
    <n v="40"/>
    <x v="9"/>
    <s v="https://ae01.alicdn.com/kf/HTB1J_ouO9zqK1RjSZPxq6A4tVXaz.jpg_x000a_"/>
    <x v="1"/>
    <x v="7"/>
    <x v="9"/>
    <x v="0"/>
    <x v="9"/>
    <x v="0"/>
    <x v="0"/>
  </r>
  <r>
    <x v="10"/>
    <m/>
    <x v="10"/>
    <s v="https://ae01.alicdn.com/kf/HTB1XgVLaDjxK1Rjy0Fnq6yBaFXaJ.jpg_x000a_"/>
    <x v="3"/>
    <x v="8"/>
    <x v="10"/>
    <x v="1"/>
    <x v="10"/>
    <x v="0"/>
    <x v="0"/>
  </r>
  <r>
    <x v="11"/>
    <n v="97"/>
    <x v="11"/>
    <s v="https://ae01.alicdn.com/kf/HTB1cu3QLXXXXXbAXFXXq6xXFXXXr/220721527/HTB1cu3QLXXXXXbAXFXXq6xXFXXXr.jpg?size=103153&amp;height=800&amp;width=800&amp;hash=fff6947adbeb88623b02e4b4ac383feb_x000a_"/>
    <x v="6"/>
    <x v="2"/>
    <x v="11"/>
    <x v="0"/>
    <x v="11"/>
    <x v="0"/>
    <x v="0"/>
  </r>
  <r>
    <x v="12"/>
    <n v="91"/>
    <x v="12"/>
    <s v="https://ae01.alicdn.com/kf/HTB1qZFNQVXXXXXSXFXXq6xXFXXXZ/220721527/HTB1qZFNQVXXXXXSXFXXq6xXFXXXZ.jpg?size=77912&amp;height=800&amp;width=800&amp;hash=e532a6045edc46ae05cfe6efbfda93bb_x000a_"/>
    <x v="6"/>
    <x v="9"/>
    <x v="12"/>
    <x v="0"/>
    <x v="12"/>
    <x v="0"/>
    <x v="0"/>
  </r>
  <r>
    <x v="13"/>
    <m/>
    <x v="13"/>
    <s v="https://ae01.alicdn.com/kf/HTB1cndmPSrqK1RjSZK9q6xyypXam.jpg_x000a_"/>
    <x v="2"/>
    <x v="2"/>
    <x v="13"/>
    <x v="1"/>
    <x v="13"/>
    <x v="0"/>
    <x v="0"/>
  </r>
  <r>
    <x v="14"/>
    <n v="190"/>
    <x v="14"/>
    <s v="https://ae01.alicdn.com/kf/HTB1CLhKhfBNTKJjy0Fdq6APpVXaj.jpg?size=106774&amp;height=1000&amp;width=1000&amp;hash=65c09ceabb9d44c62880fff37b17545c_x000a_"/>
    <x v="4"/>
    <x v="10"/>
    <x v="14"/>
    <x v="3"/>
    <x v="14"/>
    <x v="0"/>
    <x v="0"/>
  </r>
  <r>
    <x v="15"/>
    <m/>
    <x v="15"/>
    <s v="http://i0.wp.com/ae01.alicdn.com/kf/HTB1LjnteRCw3KVjSZR0q6zcUpXai/50pcs-lot-CH340G-font-b-CH340-b-font-SOP-16-new-and-original-In-Stock.jpg_x000a_"/>
    <x v="6"/>
    <x v="11"/>
    <x v="15"/>
    <x v="1"/>
    <x v="15"/>
    <x v="0"/>
    <x v="0"/>
  </r>
  <r>
    <x v="16"/>
    <n v="0"/>
    <x v="16"/>
    <s v="https://ae01.alicdn.com/kf/HTB1FDapXODxK1RjSsphq6zHrpXat.jpg_x000a_"/>
    <x v="4"/>
    <x v="2"/>
    <x v="16"/>
    <x v="1"/>
    <x v="16"/>
    <x v="0"/>
    <x v="0"/>
  </r>
  <r>
    <x v="17"/>
    <m/>
    <x v="17"/>
    <s v="https://ae01.alicdn.com/kf/HTB1aEuTLFXXXXaTXpXXq6xXFXXXq.jpg?size=63556&amp;height=450&amp;width=800&amp;hash=48f8bdea12372390a545f3249198736a_x000a_"/>
    <x v="1"/>
    <x v="2"/>
    <x v="17"/>
    <x v="1"/>
    <x v="17"/>
    <x v="0"/>
    <x v="0"/>
  </r>
  <r>
    <x v="18"/>
    <n v="19"/>
    <x v="18"/>
    <s v="https://ae01.alicdn.com/kf/Hccfaa6f24f994f67ada2397db99ce97fM.jpg_x000a_"/>
    <x v="2"/>
    <x v="2"/>
    <x v="18"/>
    <x v="0"/>
    <x v="18"/>
    <x v="0"/>
    <x v="0"/>
  </r>
  <r>
    <x v="19"/>
    <n v="54"/>
    <x v="19"/>
    <s v="https://ae01.alicdn.com/kf/H97104df39c964e589f39f3ed9dde40795.jpg_x000a_"/>
    <x v="2"/>
    <x v="2"/>
    <x v="19"/>
    <x v="0"/>
    <x v="19"/>
    <x v="0"/>
    <x v="0"/>
  </r>
  <r>
    <x v="20"/>
    <n v="0"/>
    <x v="20"/>
    <s v="https://ae01.alicdn.com/kf/HTB1EmicePgy_uJjSZKPq6yGlFXah.jpg_x000a_"/>
    <x v="1"/>
    <x v="12"/>
    <x v="20"/>
    <x v="1"/>
    <x v="20"/>
    <x v="0"/>
    <x v="0"/>
  </r>
  <r>
    <x v="21"/>
    <n v="48"/>
    <x v="21"/>
    <s v="https://ae01.alicdn.com/kf/Hfd637dfd630042e581481f81c93c19b0C.jpg_x000a_https://ae01.alicdn.com/kf/Hfd637dfd630042e581481f81c93c19b0C.jpg"/>
    <x v="4"/>
    <x v="2"/>
    <x v="21"/>
    <x v="0"/>
    <x v="21"/>
    <x v="0"/>
    <x v="0"/>
  </r>
  <r>
    <x v="22"/>
    <n v="0"/>
    <x v="22"/>
    <s v="https://ae01.alicdn.com/kf/HTB1zuVaaiHrK1Rjy0Flq6AsaFXai.jpg_x000a_"/>
    <x v="2"/>
    <x v="13"/>
    <x v="22"/>
    <x v="1"/>
    <x v="22"/>
    <x v="0"/>
    <x v="0"/>
  </r>
  <r>
    <x v="23"/>
    <n v="0"/>
    <x v="23"/>
    <s v="https://ae01.alicdn.com/kf/HTB1zte1BeuSBuNjy1Xcq6AYjFXaE/100PCS-LOT-35mm-Piezo-Ceramic-Element-with-cable-length-15cm-free-shipping-SS-10.jpg_640x640.jpg_x000a_"/>
    <x v="4"/>
    <x v="2"/>
    <x v="23"/>
    <x v="1"/>
    <x v="23"/>
    <x v="0"/>
    <x v="0"/>
  </r>
  <r>
    <x v="24"/>
    <n v="85"/>
    <x v="24"/>
    <s v="https://ae01.alicdn.com/kf/HTB1PyJMlHsTMeJjy1zeq6AOCVXaq.jpg_x000a_"/>
    <x v="4"/>
    <x v="2"/>
    <x v="24"/>
    <x v="0"/>
    <x v="24"/>
    <x v="0"/>
    <x v="0"/>
  </r>
  <r>
    <x v="25"/>
    <m/>
    <x v="25"/>
    <s v="https://ae01.alicdn.com/kf/HTB15WrDXEjrK1RkHFNRq6ySvpXaF.jpg_x000a_"/>
    <x v="1"/>
    <x v="14"/>
    <x v="25"/>
    <x v="1"/>
    <x v="25"/>
    <x v="0"/>
    <x v="0"/>
  </r>
  <r>
    <x v="26"/>
    <m/>
    <x v="26"/>
    <s v="https://ae01.alicdn.com/kf/HTB1LbfBeb1YBuNjSszhq6AUsFXa3.jpg_x000a_"/>
    <x v="1"/>
    <x v="2"/>
    <x v="26"/>
    <x v="1"/>
    <x v="26"/>
    <x v="0"/>
    <x v="0"/>
  </r>
  <r>
    <x v="27"/>
    <n v="70"/>
    <x v="27"/>
    <s v="https://ae01.alicdn.com/kf/HTB1GaZZdgHqK1RjSZFEq6AGMXXaW.jpg_x000a_"/>
    <x v="4"/>
    <x v="2"/>
    <x v="27"/>
    <x v="0"/>
    <x v="27"/>
    <x v="0"/>
    <x v="0"/>
  </r>
  <r>
    <x v="28"/>
    <m/>
    <x v="28"/>
    <s v="https://ae01.alicdn.com/kf/HTB1C1t.UAvoK1RjSZFDq6xY3pXan.jpg_x000a_"/>
    <x v="6"/>
    <x v="2"/>
    <x v="28"/>
    <x v="1"/>
    <x v="28"/>
    <x v="0"/>
    <x v="0"/>
  </r>
  <r>
    <x v="29"/>
    <n v="40"/>
    <x v="29"/>
    <s v="https://ae01.alicdn.com/kf/HTB1tO_2bJnJ8KJjSszdq6yxuFXaY.jpg_x000a_https://ae01.alicdn.com/kf/HTB1tO_2bJnJ8KJjSszdq6yxuFXaY.jpg"/>
    <x v="2"/>
    <x v="2"/>
    <x v="29"/>
    <x v="1"/>
    <x v="29"/>
    <x v="0"/>
    <x v="0"/>
  </r>
  <r>
    <x v="30"/>
    <n v="0"/>
    <x v="30"/>
    <s v="https://ae01.alicdn.com/kf/Hc0728c588d7e4731a19cd6cd04d4fff2E.jpg_x000a_"/>
    <x v="3"/>
    <x v="15"/>
    <x v="30"/>
    <x v="1"/>
    <x v="30"/>
    <x v="0"/>
    <x v="0"/>
  </r>
  <r>
    <x v="31"/>
    <n v="395"/>
    <x v="31"/>
    <s v="https://ae01.alicdn.com/kf/HTB1e39iPFXXXXX3XFXXq6xXFXXXx.jpg_x000a_"/>
    <x v="7"/>
    <x v="2"/>
    <x v="31"/>
    <x v="0"/>
    <x v="31"/>
    <x v="0"/>
    <x v="0"/>
  </r>
  <r>
    <x v="32"/>
    <n v="0"/>
    <x v="19"/>
    <s v="https://ae01.alicdn.com/kf/HTB1WZy9RpXXXXa_apXXq6xXFXXXA.jpg?size=331671&amp;height=550&amp;width=960&amp;hash=176a7d139f104bde0d951f83b7c002af_x000a_"/>
    <x v="2"/>
    <x v="2"/>
    <x v="32"/>
    <x v="1"/>
    <x v="32"/>
    <x v="0"/>
    <x v="0"/>
  </r>
  <r>
    <x v="33"/>
    <n v="76"/>
    <x v="32"/>
    <s v="https://ae01.alicdn.com/kf/HTB1Q0XjLCzqK1RjSZFHq6z3CpXaU.jpg_x000a_"/>
    <x v="3"/>
    <x v="2"/>
    <x v="33"/>
    <x v="0"/>
    <x v="33"/>
    <x v="0"/>
    <x v="0"/>
  </r>
  <r>
    <x v="34"/>
    <n v="48"/>
    <x v="6"/>
    <s v="https://ae01.alicdn.com/kf/HTB16idgLrvpK1RjSZFqq6AXUVXaX.jpg_x000a_"/>
    <x v="3"/>
    <x v="2"/>
    <x v="34"/>
    <x v="0"/>
    <x v="34"/>
    <x v="0"/>
    <x v="0"/>
  </r>
  <r>
    <x v="35"/>
    <n v="74"/>
    <x v="33"/>
    <s v="https://ae01.alicdn.com/kf/HTB16idgLrvpK1RjSZFqq6AXUVXaX.jpg_x000a_"/>
    <x v="3"/>
    <x v="2"/>
    <x v="35"/>
    <x v="0"/>
    <x v="35"/>
    <x v="0"/>
    <x v="0"/>
  </r>
  <r>
    <x v="36"/>
    <n v="54"/>
    <x v="34"/>
    <s v="https://images-na.ssl-images-amazon.com/images/I/61MUAD-KG8L._AC_SX466_.jpg_x000a_"/>
    <x v="3"/>
    <x v="2"/>
    <x v="36"/>
    <x v="1"/>
    <x v="36"/>
    <x v="0"/>
    <x v="0"/>
  </r>
  <r>
    <x v="37"/>
    <m/>
    <x v="35"/>
    <s v="https://ae01.alicdn.com/kf/HTB1HkdAC8LoK1RjSZFuq6xn0XXai.jpg_x000a_"/>
    <x v="5"/>
    <x v="16"/>
    <x v="37"/>
    <x v="1"/>
    <x v="37"/>
    <x v="0"/>
    <x v="0"/>
  </r>
  <r>
    <x v="38"/>
    <m/>
    <x v="36"/>
    <s v="https://ae01.alicdn.com/kf/HTB1ziqMOVXXXXX0XpXXq6xXFXXXT/220871072/HTB1ziqMOVXXXXX0XpXXq6xXFXXXT.jpg_x000a_"/>
    <x v="0"/>
    <x v="17"/>
    <x v="38"/>
    <x v="1"/>
    <x v="38"/>
    <x v="0"/>
    <x v="0"/>
  </r>
  <r>
    <x v="39"/>
    <n v="11"/>
    <x v="37"/>
    <s v="https://ae01.alicdn.com/kf/HTB1ORydXBsmBKNjSZFsq6yXSVXaJ.jpg_x000a_"/>
    <x v="3"/>
    <x v="2"/>
    <x v="39"/>
    <x v="2"/>
    <x v="39"/>
    <x v="0"/>
    <x v="0"/>
  </r>
  <r>
    <x v="40"/>
    <n v="14"/>
    <x v="38"/>
    <s v="https://ae01.alicdn.com/kf/HTB1dVu2ownH8KJjSspcq6z3QFXaE.jpg_x000a_"/>
    <x v="3"/>
    <x v="18"/>
    <x v="40"/>
    <x v="2"/>
    <x v="40"/>
    <x v="0"/>
    <x v="0"/>
  </r>
  <r>
    <x v="41"/>
    <n v="73"/>
    <x v="39"/>
    <s v="https://ae01.alicdn.com/kf/HTB14kONafjsK1Rjy1Xaq6zispXa0/WAVGAT-13KG-15KG-Servos-Digital-MG995-MG996-Servo-Metal-Gear-for-Futaba-JR-Car-RC-Model.jpg_x000a_"/>
    <x v="1"/>
    <x v="19"/>
    <x v="41"/>
    <x v="0"/>
    <x v="41"/>
    <x v="0"/>
    <x v="0"/>
  </r>
  <r>
    <x v="42"/>
    <n v="45"/>
    <x v="40"/>
    <s v="https://ae01.alicdn.com/kf/HTB1TtBvSpXXXXXYXXXXq6xXFXXXj.jpg_x000a_"/>
    <x v="1"/>
    <x v="20"/>
    <x v="42"/>
    <x v="3"/>
    <x v="42"/>
    <x v="0"/>
    <x v="0"/>
  </r>
  <r>
    <x v="43"/>
    <n v="8"/>
    <x v="41"/>
    <s v="https://ae01.alicdn.com/kf/HTB1Cv1vP9rqK1RjSZK9q6xyypXa5.jpg_x000a_"/>
    <x v="5"/>
    <x v="21"/>
    <x v="43"/>
    <x v="2"/>
    <x v="43"/>
    <x v="0"/>
    <x v="0"/>
  </r>
  <r>
    <x v="44"/>
    <m/>
    <x v="42"/>
    <s v="https://ae01.alicdn.com/kf/HTB1UBYAXPzuK1RjSspeq6ziHVXaI.jpg_x000a_"/>
    <x v="1"/>
    <x v="2"/>
    <x v="44"/>
    <x v="1"/>
    <x v="44"/>
    <x v="0"/>
    <x v="0"/>
  </r>
  <r>
    <x v="45"/>
    <n v="0"/>
    <x v="43"/>
    <m/>
    <x v="2"/>
    <x v="2"/>
    <x v="45"/>
    <x v="1"/>
    <x v="45"/>
    <x v="0"/>
    <x v="0"/>
  </r>
  <r>
    <x v="46"/>
    <m/>
    <x v="13"/>
    <s v="https://www.rocketscream.com/blog/wp-content/uploads/2018/05/PRO-00012-JUMPER-WIRES-MALE-FEMALE-BUNDLE-OF-10.jpg_x000a_"/>
    <x v="2"/>
    <x v="2"/>
    <x v="46"/>
    <x v="1"/>
    <x v="46"/>
    <x v="0"/>
    <x v="0"/>
  </r>
  <r>
    <x v="47"/>
    <n v="680"/>
    <x v="13"/>
    <s v="https://www.rocketscream.com/blog/wp-content/uploads/2014/05/PRO-00010-JUMPER-WIRES-MALE-MALE-BUNDLE-OF-10.jpg_x000a_"/>
    <x v="2"/>
    <x v="2"/>
    <x v="47"/>
    <x v="1"/>
    <x v="47"/>
    <x v="0"/>
    <x v="0"/>
  </r>
  <r>
    <x v="48"/>
    <m/>
    <x v="44"/>
    <m/>
    <x v="3"/>
    <x v="2"/>
    <x v="48"/>
    <x v="1"/>
    <x v="48"/>
    <x v="0"/>
    <x v="0"/>
  </r>
  <r>
    <x v="49"/>
    <n v="0"/>
    <x v="45"/>
    <m/>
    <x v="3"/>
    <x v="2"/>
    <x v="49"/>
    <x v="1"/>
    <x v="49"/>
    <x v="0"/>
    <x v="0"/>
  </r>
  <r>
    <x v="50"/>
    <m/>
    <x v="46"/>
    <s v="https://cdn.sparkfun.com//assets/parts/2/6/4/00338-07_replace.jpg_x000a_"/>
    <x v="3"/>
    <x v="2"/>
    <x v="50"/>
    <x v="1"/>
    <x v="50"/>
    <x v="0"/>
    <x v="0"/>
  </r>
  <r>
    <x v="51"/>
    <m/>
    <x v="47"/>
    <s v="https://cdn.shopify.com/s/files/1/0607/6701/products/WP24-2-led-power-wire-store1_dcd51b9a-1c4c-4ba6-8291-f4802f906018_large.jpg?v=1537371361_x000a_https://cdn.shopify.com/s/files/1/0607/6701/products/WP24-2-led-power-wire-store1_dcd51b9a-1c4c-4ba6-8291-f4802f906018_large.jpg?v=1537371361"/>
    <x v="2"/>
    <x v="2"/>
    <x v="51"/>
    <x v="1"/>
    <x v="51"/>
    <x v="0"/>
    <x v="0"/>
  </r>
  <r>
    <x v="52"/>
    <n v="32"/>
    <x v="48"/>
    <s v="https://components101.com/sites/default/files/components/Arduino-Nano.jpg_x000a_https://www.elektor.com/media/catalog/product/cache/2a84d7e3cda01dc1fff5b0183d7be2d5/a/r/arduinonanofront_3_sm_1.jpg"/>
    <x v="0"/>
    <x v="22"/>
    <x v="52"/>
    <x v="3"/>
    <x v="52"/>
    <x v="0"/>
    <x v="0"/>
  </r>
  <r>
    <x v="53"/>
    <n v="100"/>
    <x v="2"/>
    <s v="https://images-na.ssl-images-amazon.com/images/I/61P0Wr5km4L._AC_SL1020_.jpg_x000a_https://images-na.ssl-images-amazon.com/images/I/61P0Wr5km4L._AC_SL1020_.jpg"/>
    <x v="2"/>
    <x v="2"/>
    <x v="53"/>
    <x v="0"/>
    <x v="53"/>
    <x v="0"/>
    <x v="0"/>
  </r>
  <r>
    <x v="54"/>
    <m/>
    <x v="49"/>
    <s v="https://upload.wikimedia.org/wikipedia/commons/thumb/2/28/Electronic-Component-Elec-Capacitors.jpg/220px-Electronic-Component-Elec-Capacitors.jpg_x000a_https://upload.wikimedia.org/wikipedia/commons/thumb/2/28/Electronic-Component-Elec-Capacitors.jpg/220px-Electronic-Component-Elec-Capacitors.jpg"/>
    <x v="6"/>
    <x v="2"/>
    <x v="54"/>
    <x v="1"/>
    <x v="54"/>
    <x v="0"/>
    <x v="0"/>
  </r>
  <r>
    <x v="55"/>
    <n v="0"/>
    <x v="50"/>
    <s v="https://encrypted-tbn0.gstatic.com/shopping?q=tbn:ANd9GcSjggxEOd7KTfk_MBSzk_9a5tM-pBx0wMd_-r03qqAtXduQfcBAPBKIMnEq1-muJJz_T0jGWfr1cL8&amp;usqp=CAc_x000a_https://encrypted-tbn0.gstatic.com/shopping?q=tbn:ANd9GcSjggxEOd7KTfk_MBSzk_9a5tM-pBx0wMd_-r03qqAtXduQfcBAPBKIMnEq1-muJJz_T0jGWfr1cL8&amp;usqp=CAc"/>
    <x v="2"/>
    <x v="2"/>
    <x v="55"/>
    <x v="1"/>
    <x v="55"/>
    <x v="0"/>
    <x v="0"/>
  </r>
  <r>
    <x v="56"/>
    <m/>
    <x v="51"/>
    <m/>
    <x v="2"/>
    <x v="2"/>
    <x v="56"/>
    <x v="1"/>
    <x v="56"/>
    <x v="0"/>
    <x v="0"/>
  </r>
  <r>
    <x v="57"/>
    <m/>
    <x v="52"/>
    <s v="https://encrypted-tbn2.gstatic.com/shopping?q=tbn:ANd9GcSvZvClMes_M0TuZ6whwzpMBeDjuZsxu-m35zhaURzigRFv9VRK8CCvfg9xgm_jXoqhUOmjrTz_eQ&amp;usqp=CAc_x000a_https://encrypted-tbn2.gstatic.com/shopping?q=tbn:ANd9GcSvZvClMes_M0TuZ6whwzpMBeDjuZsxu-m35zhaURzigRFv9VRK8CCvfg9xgm_jXoqhUOmjrTz_eQ&amp;usqp=CAc"/>
    <x v="1"/>
    <x v="2"/>
    <x v="57"/>
    <x v="1"/>
    <x v="57"/>
    <x v="0"/>
    <x v="0"/>
  </r>
  <r>
    <x v="58"/>
    <n v="23"/>
    <x v="53"/>
    <s v="https://mm.digikey.com/Volume0/opasdata/d220001/medias/images/2958/MFG_KIT%20MOTOR.jpg_x000a_https://mm.digikey.com/Volume0/opasdata/d220001/medias/images/2958/MFG_KIT%20MOTOR.jpg"/>
    <x v="1"/>
    <x v="23"/>
    <x v="58"/>
    <x v="3"/>
    <x v="58"/>
    <x v="0"/>
    <x v="0"/>
  </r>
  <r>
    <x v="59"/>
    <n v="100"/>
    <x v="54"/>
    <s v="https://encrypted-tbn0.gstatic.com/images?q=tbn:ANd9GcQc0nKwbcx4uSdFK8Fmcoe1Zo5mZA0TcaP8cs8jpUZV-8fayrcLbA&amp;s_x000a_https://encrypted-tbn0.gstatic.com/images?q=tbn:ANd9GcQc0nKwbcx4uSdFK8Fmcoe1Zo5mZA0TcaP8cs8jpUZV-8fayrcLbA&amp;s"/>
    <x v="2"/>
    <x v="2"/>
    <x v="59"/>
    <x v="1"/>
    <x v="59"/>
    <x v="0"/>
    <x v="0"/>
  </r>
  <r>
    <x v="60"/>
    <n v="146"/>
    <x v="55"/>
    <s v="http://www.ca.diigiit.com/image/cache/catalog/china/A00908-1000x750.jpg_x000a_http://www.ca.diigiit.com/image/cache/catalog/china/A00908-1000x750.jpg"/>
    <x v="2"/>
    <x v="2"/>
    <x v="60"/>
    <x v="0"/>
    <x v="60"/>
    <x v="0"/>
    <x v="0"/>
  </r>
  <r>
    <x v="61"/>
    <n v="254"/>
    <x v="55"/>
    <s v="http://www.ca.diigiit.com/image/cache/catalog/china/A00908-1000x750.jpg_x000a_"/>
    <x v="2"/>
    <x v="2"/>
    <x v="61"/>
    <x v="0"/>
    <x v="61"/>
    <x v="0"/>
    <x v="0"/>
  </r>
  <r>
    <x v="62"/>
    <m/>
    <x v="55"/>
    <s v="http://www.ca.diigiit.com/image/cache/catalog/china/A00908-1000x750.jpg_x000a_"/>
    <x v="2"/>
    <x v="2"/>
    <x v="62"/>
    <x v="1"/>
    <x v="62"/>
    <x v="0"/>
    <x v="0"/>
  </r>
  <r>
    <x v="63"/>
    <n v="100"/>
    <x v="56"/>
    <s v="http://t1.gstatic.com/images?q=tbn:ANd9GcSKCa7JPA4ckQSoO1cyTMuUzNhpgSQwzHqxN3QzLOfKjvV2qGBL9tnIBnQ1UrsxLfJu3Lnnd2Xh1XXP8juiRRE_x000a_http://t1.gstatic.com/images?q=tbn:ANd9GcSKCa7JPA4ckQSoO1cyTMuUzNhpgSQwzHqxN3QzLOfKjvV2qGBL9tnIBnQ1UrsxLfJu3Lnnd2Xh1XXP8juiRRE"/>
    <x v="6"/>
    <x v="2"/>
    <x v="63"/>
    <x v="0"/>
    <x v="63"/>
    <x v="0"/>
    <x v="0"/>
  </r>
  <r>
    <x v="64"/>
    <m/>
    <x v="57"/>
    <s v="https://images-na.ssl-images-amazon.com/images/I/31kavmEX8mL._SX466_.jpg_x000a_https://images-na.ssl-images-amazon.com/images/I/31kavmEX8mL._SX466_.jpg"/>
    <x v="1"/>
    <x v="2"/>
    <x v="64"/>
    <x v="1"/>
    <x v="64"/>
    <x v="0"/>
    <x v="0"/>
  </r>
  <r>
    <x v="64"/>
    <m/>
    <x v="57"/>
    <s v="https://framecomplete.com/wp-content/uploads/2019/01/GT2-Timing-Pulley-16T-W6-B5-01.png_x000a_https://framecomplete.com/wp-content/uploads/2019/01/GT2-Timing-Pulley-16T-W6-B5-01.png"/>
    <x v="1"/>
    <x v="2"/>
    <x v="65"/>
    <x v="1"/>
    <x v="65"/>
    <x v="0"/>
    <x v="0"/>
  </r>
  <r>
    <x v="65"/>
    <n v="10"/>
    <x v="58"/>
    <s v="https://images-na.ssl-images-amazon.com/images/I/41psaq0xNtL._SX342_.jpg_x000a_https://images-na.ssl-images-amazon.com/images/I/41psaq0xNtL._SX342_.jpg"/>
    <x v="1"/>
    <x v="2"/>
    <x v="66"/>
    <x v="2"/>
    <x v="66"/>
    <x v="0"/>
    <x v="0"/>
  </r>
  <r>
    <x v="66"/>
    <m/>
    <x v="56"/>
    <s v="https://cdn.sparkfun.com//assets/parts/3/3/8/0/09590-01.jpg_x000a_https://cdn.sparkfun.com//assets/parts/3/3/8/0/09590-01.jpg"/>
    <x v="6"/>
    <x v="2"/>
    <x v="67"/>
    <x v="1"/>
    <x v="67"/>
    <x v="0"/>
    <x v="0"/>
  </r>
  <r>
    <x v="67"/>
    <m/>
    <x v="59"/>
    <s v="https://cdn.sparkfun.com//assets/parts/3/3/8/2/09592-01.jpg_x000a_https://cdn.sparkfun.com//assets/parts/3/3/8/2/09592-01.jpg"/>
    <x v="6"/>
    <x v="2"/>
    <x v="68"/>
    <x v="1"/>
    <x v="68"/>
    <x v="0"/>
    <x v="0"/>
  </r>
  <r>
    <x v="68"/>
    <n v="72"/>
    <x v="60"/>
    <s v="https://media.digikey.com/Photos/Adafruit%20Industries%20LLC/254.jpg_x000a_https://media.digikey.com/Photos/Adafruit%20Industries%20LLC/254.jpg"/>
    <x v="5"/>
    <x v="2"/>
    <x v="69"/>
    <x v="0"/>
    <x v="69"/>
    <x v="0"/>
    <x v="0"/>
  </r>
  <r>
    <x v="69"/>
    <n v="26"/>
    <x v="61"/>
    <s v="https://images-na.ssl-images-amazon.com/images/I/61cR93dX74L._AC_SL1100_.jpg_x000a_"/>
    <x v="3"/>
    <x v="24"/>
    <x v="70"/>
    <x v="0"/>
    <x v="70"/>
    <x v="0"/>
    <x v="0"/>
  </r>
  <r>
    <x v="70"/>
    <n v="0"/>
    <x v="62"/>
    <s v="https://www.pcboard.ca/image/cache/catalog/products/rf_products/hc-06/hc-06-bluetooth-module-4-800x800.jpg_x000a_https://cdn.instructables.com/FXH/T713/HYZX8XS1/FXHT713HYZX8XS1.LARGE.jpg?auto=webp&amp;fit=bounds"/>
    <x v="5"/>
    <x v="25"/>
    <x v="71"/>
    <x v="1"/>
    <x v="71"/>
    <x v="0"/>
    <x v="0"/>
  </r>
  <r>
    <x v="71"/>
    <m/>
    <x v="63"/>
    <s v="http://www.robo-dyne.com/wp-content/uploads/2017/04/12104-01-2.jpg_x000a_http://www.robo-dyne.com/wp-content/uploads/2017/04/12104-01-2.jpg"/>
    <x v="1"/>
    <x v="2"/>
    <x v="72"/>
    <x v="1"/>
    <x v="72"/>
    <x v="0"/>
    <x v="0"/>
  </r>
  <r>
    <x v="72"/>
    <m/>
    <x v="13"/>
    <s v="https://images-na.ssl-images-amazon.com/images/I/3115Y18L6YL._SX342_.jpg_x000a_https://images-na.ssl-images-amazon.com/images/I/3115Y18L6YL._SX342_.jpg"/>
    <x v="6"/>
    <x v="2"/>
    <x v="73"/>
    <x v="1"/>
    <x v="73"/>
    <x v="0"/>
    <x v="0"/>
  </r>
  <r>
    <x v="73"/>
    <n v="69"/>
    <x v="64"/>
    <s v="https://images-na.ssl-images-amazon.com/images/I/71UWYarvtML._SL1100_.jpg_x000a_https://images-na.ssl-images-amazon.com/images/I/71UWYarvtML._SL1100_.jpg"/>
    <x v="2"/>
    <x v="2"/>
    <x v="74"/>
    <x v="0"/>
    <x v="74"/>
    <x v="0"/>
    <x v="0"/>
  </r>
  <r>
    <x v="74"/>
    <m/>
    <x v="56"/>
    <s v="https://upload.wikimedia.org/wikipedia/commons/7/75/Electronic-Axial-Lead-Resistors-Array.jpg_x000a_https://upload.wikimedia.org/wikipedia/commons/7/75/Electronic-Axial-Lead-Resistors-Array.jpg"/>
    <x v="6"/>
    <x v="2"/>
    <x v="75"/>
    <x v="1"/>
    <x v="75"/>
    <x v="0"/>
    <x v="0"/>
  </r>
  <r>
    <x v="75"/>
    <n v="64"/>
    <x v="65"/>
    <s v="https://media.digikey.com/photos/Bourns%20Photos/PEC11R-4225F-S0024.jpg_x000a_https://media.digikey.com/photos/Bourns%20Photos/PEC11R-4225F-S0024.jpg"/>
    <x v="6"/>
    <x v="2"/>
    <x v="76"/>
    <x v="0"/>
    <x v="76"/>
    <x v="0"/>
    <x v="0"/>
  </r>
  <r>
    <x v="76"/>
    <n v="155"/>
    <x v="65"/>
    <s v="https://hub360.com.ng/wp-content/uploads/2016/06/1-1-1.jpg_x000a_https://hub360.com.ng/wp-content/uploads/2016/06/1-1-1.jpg"/>
    <x v="4"/>
    <x v="2"/>
    <x v="77"/>
    <x v="0"/>
    <x v="77"/>
    <x v="0"/>
    <x v="0"/>
  </r>
  <r>
    <x v="77"/>
    <n v="63"/>
    <x v="66"/>
    <s v="https://images-na.ssl-images-amazon.com/images/I/61-cWoN5eNL._AC_SX425_.jpg_x000a_https://images-na.ssl-images-amazon.com/images/I/61-cWoN5eNL._AC_SX425_.jpg"/>
    <x v="4"/>
    <x v="2"/>
    <x v="78"/>
    <x v="0"/>
    <x v="78"/>
    <x v="0"/>
    <x v="0"/>
  </r>
  <r>
    <x v="78"/>
    <n v="0"/>
    <x v="67"/>
    <s v="https://contestimg.wish.com/api/webimage/59eeb8c7dd03295033a869c9-3-large?cozy=1_x000a_https://contestimg.wish.com/api/webimage/59eeb8c7dd03295033a869c9-3-large?cozy=1"/>
    <x v="5"/>
    <x v="2"/>
    <x v="79"/>
    <x v="1"/>
    <x v="79"/>
    <x v="0"/>
    <x v="0"/>
  </r>
  <r>
    <x v="79"/>
    <m/>
    <x v="68"/>
    <s v="https://ae01.alicdn.com/kf/HTB1KclZOVXXXXc_XpXXq6xXFXXXi/50pcs-lot-M3-5-6-Male-female-Brass-Hex-PCB-Standoff-Spacer.jpg_x000a_https://ae01.alicdn.com/kf/HTB1KclZOVXXXXc_XpXXq6xXFXXXi/50pcs-lot-M3-5-6-Male-female-Brass-Hex-PCB-Standoff-Spacer.jpg"/>
    <x v="7"/>
    <x v="2"/>
    <x v="80"/>
    <x v="1"/>
    <x v="80"/>
    <x v="0"/>
    <x v="0"/>
  </r>
  <r>
    <x v="80"/>
    <n v="290"/>
    <x v="69"/>
    <s v="https://ae01.alicdn.com/kf/HTB1KclZOVXXXXc_XpXXq6xXFXXXi/50pcs-lot-M3-5-6-Male-female-Brass-Hex-PCB-Standoff-Spacer.jpg_x000a_https://ae01.alicdn.com/kf/HTB1KclZOVXXXXc_XpXXq6xXFXXXi/50pcs-lot-M3-5-6-Male-female-Brass-Hex-PCB-Standoff-Spacer.jpg"/>
    <x v="7"/>
    <x v="2"/>
    <x v="81"/>
    <x v="0"/>
    <x v="81"/>
    <x v="0"/>
    <x v="0"/>
  </r>
  <r>
    <x v="81"/>
    <n v="43"/>
    <x v="70"/>
    <s v="https://ae01.alicdn.com/kf/HTB1KclZOVXXXXc_XpXXq6xXFXXXi/50pcs-lot-M3-5-6-Male-female-Brass-Hex-PCB-Standoff-Spacer.jpg_x000a_https://ae01.alicdn.com/kf/HTB1KclZOVXXXXc_XpXXq6xXFXXXi/50pcs-lot-M3-5-6-Male-female-Brass-Hex-PCB-Standoff-Spacer.jpg"/>
    <x v="7"/>
    <x v="2"/>
    <x v="82"/>
    <x v="3"/>
    <x v="82"/>
    <x v="0"/>
    <x v="0"/>
  </r>
  <r>
    <x v="82"/>
    <m/>
    <x v="71"/>
    <s v="https://images-na.ssl-images-amazon.com/images/I/61QOnbPQtkL._SL1000_.jpg_x000a_https://images-na.ssl-images-amazon.com/images/I/61QOnbPQtkL._SL1000_.jpg"/>
    <x v="1"/>
    <x v="26"/>
    <x v="83"/>
    <x v="1"/>
    <x v="83"/>
    <x v="0"/>
    <x v="0"/>
  </r>
  <r>
    <x v="83"/>
    <n v="206"/>
    <x v="72"/>
    <s v="https://guide.alibaba.com/image/i4/mts-202-toggle-switch-bipolar-double-throw-6-feet-2-files-toggle-switch-toggle-switch-mts202/TB15QTEKVXXXXXbXXXXXXXXXXXX_!!0-item_pic.jpg_x000a_https://guide.alibaba.com/image/i4/mts-202-toggle-switch-bipolar-double-throw-6-feet-2-files-toggle-switch-toggle-switch-mts202/TB15QTEKVXXXXXbXXXXXXXXXXXX_!!0-item_pic.jpg"/>
    <x v="2"/>
    <x v="2"/>
    <x v="84"/>
    <x v="0"/>
    <x v="84"/>
    <x v="0"/>
    <x v="0"/>
  </r>
  <r>
    <x v="84"/>
    <n v="0"/>
    <x v="73"/>
    <s v="https://s3.amazonaws.com/rp-part-images/assets/26c6d1f5c1debba1d092ccf076dcab92.JPG_x000a_https://s3.amazonaws.com/rp-part-images/assets/26c6d1f5c1debba1d092ccf076dcab92.JPG"/>
    <x v="1"/>
    <x v="2"/>
    <x v="85"/>
    <x v="1"/>
    <x v="85"/>
    <x v="0"/>
    <x v="0"/>
  </r>
  <r>
    <x v="85"/>
    <m/>
    <x v="74"/>
    <s v="https://cdn.sparkfun.com//assets/parts/4/5/5/5/10213-01.jpg_x000a_https://cdn.sparkfun.com//assets/parts/4/5/5/5/10213-01.jpg"/>
    <x v="6"/>
    <x v="2"/>
    <x v="86"/>
    <x v="1"/>
    <x v="86"/>
    <x v="0"/>
    <x v="0"/>
  </r>
  <r>
    <x v="86"/>
    <n v="227"/>
    <x v="22"/>
    <s v="https://cdn.sparkfun.com//assets/parts/4/5/5/5/10213-01.jpg_x000a_https://cdn.sparkfun.com//assets/parts/4/5/5/5/10213-01.jpg"/>
    <x v="6"/>
    <x v="2"/>
    <x v="87"/>
    <x v="0"/>
    <x v="87"/>
    <x v="0"/>
    <x v="0"/>
  </r>
  <r>
    <x v="87"/>
    <n v="192"/>
    <x v="75"/>
    <s v="https://cdn.sparkfun.com//assets/parts/4/5/5/5/10213-01.jpg_x000a_https://cdn.sparkfun.com//assets/parts/4/5/5/5/10213-01.jpg"/>
    <x v="3"/>
    <x v="2"/>
    <x v="88"/>
    <x v="0"/>
    <x v="88"/>
    <x v="0"/>
    <x v="0"/>
  </r>
  <r>
    <x v="88"/>
    <n v="29"/>
    <x v="76"/>
    <s v="https://ca.robotshop.com/cdn/shop/products/metal-ball-caster_1024x.jpg?v=1695161215_x000a_https://www.robotshop.com/media/catalog/product/cache/image/400x400/9df78eab33525d08d6e5fb8d27136e95/m/e/metal-ball-caster.jpg"/>
    <x v="1"/>
    <x v="2"/>
    <x v="89"/>
    <x v="0"/>
    <x v="89"/>
    <x v="0"/>
    <x v="0"/>
  </r>
  <r>
    <x v="89"/>
    <n v="61"/>
    <x v="77"/>
    <s v="https://contestimg.wish.com/api/webimage/5b7b9dec8c077e486f1cc1dc-large.jpg?cache_buster=065f9f34fc2e7a4b5cd8fc0ef9cea0e8_x000a_https://contestimg.wish.com/api/webimage/5b7b9dec8c077e486f1cc1dc-large.jpg?cache_buster=065f9f34fc2e7a4b5cd8fc0ef9cea0e8"/>
    <x v="1"/>
    <x v="2"/>
    <x v="90"/>
    <x v="0"/>
    <x v="90"/>
    <x v="0"/>
    <x v="0"/>
  </r>
  <r>
    <x v="90"/>
    <n v="72"/>
    <x v="78"/>
    <s v="https://protosupplies.com/wp-content/uploads/2019/03/DC-Geared-Motor-and-Wheel-Kit-3-9V-77RPM-Wheel.jpg_x000a_https://cdn.shopify.com/s/files/1/0014/4313/5560/products/4_700x700.jpg?v=1577794009"/>
    <x v="1"/>
    <x v="2"/>
    <x v="91"/>
    <x v="0"/>
    <x v="91"/>
    <x v="0"/>
    <x v="0"/>
  </r>
  <r>
    <x v="91"/>
    <n v="20"/>
    <x v="79"/>
    <s v="https://images-na.ssl-images-amazon.com/images/I/51F5gtbGyNL._SX425_.jpg_x000a_https://images-na.ssl-images-amazon.com/images/I/51F5gtbGyNL._SX425_.jpg"/>
    <x v="1"/>
    <x v="2"/>
    <x v="92"/>
    <x v="2"/>
    <x v="92"/>
    <x v="0"/>
    <x v="0"/>
  </r>
  <r>
    <x v="92"/>
    <n v="51"/>
    <x v="51"/>
    <s v="https://i5.walmartimages.com/asr/2c7408bf-b4ed-407d-b051-a4f3b48bc999_1.8394232ccfb3eea1cea079b6ed032fe4.jpeg?odnHeight=2000&amp;odnWidth=2000&amp;odnBg=ffffff_x000a_https://media-cdn.seeedstudio.site/media/catalog/product/cache/9d0ce51a71ce6a79dfa2a98d65a0f0bd/h/t/httpsstatics3.seeedstudio.comimagesproductwifi20serial20transceiver20module.jpg"/>
    <x v="5"/>
    <x v="27"/>
    <x v="93"/>
    <x v="0"/>
    <x v="93"/>
    <x v="0"/>
    <x v="0"/>
  </r>
  <r>
    <x v="93"/>
    <n v="0"/>
    <x v="80"/>
    <s v="https://www.pcboard.ca/image/cache/catalog/products/breadboard/solderless-breadboard-small-side-2-800x800.jpg_x000a_https://www.pcboard.ca/image/cache/catalog/products/breadboard/solderless-breadboard-small-side-2-800x800.jpg"/>
    <x v="2"/>
    <x v="2"/>
    <x v="94"/>
    <x v="1"/>
    <x v="94"/>
    <x v="0"/>
    <x v="0"/>
  </r>
  <r>
    <x v="94"/>
    <n v="35"/>
    <x v="81"/>
    <s v="https://m.media-amazon.com/images/I/51uryESxnLL._AC_UF894,,1000_QL80_.jpg_x000a_https://m.media-amazon.com/images/I/51uryESxnLL._AC_UF894,1000_QL80_.jpg"/>
    <x v="1"/>
    <x v="2"/>
    <x v="95"/>
    <x v="0"/>
    <x v="95"/>
    <x v="0"/>
    <x v="0"/>
  </r>
  <r>
    <x v="95"/>
    <n v="0"/>
    <x v="82"/>
    <s v="https://www.futurlec.com/Pictures/Package/ARDHEAD4_200.jpg_x000a_"/>
    <x v="2"/>
    <x v="2"/>
    <x v="96"/>
    <x v="1"/>
    <x v="96"/>
    <x v="0"/>
    <x v="0"/>
  </r>
  <r>
    <x v="96"/>
    <n v="100"/>
    <x v="82"/>
    <s v="https://encrypted-tbn0.gstatic.com/images?q=tbn:ANd9GcRf6oNcmSu25PDJq8zqWHYV7Kq_MVc6Sz-9y-07J4fZ3oFBX-0-nb-NKF_ukBKifjVcMjk&amp;usqp=CAU_x000a_https://encrypted-tbn0.gstatic.com/images?q=tbn:ANd9GcRf6oNcmSu25PDJq8zqWHYV7Kq_MVc6Sz-9y-07J4fZ3oFBX-0-nb-NKF_ukBKifjVcMjk&amp;usqp=CAU"/>
    <x v="2"/>
    <x v="2"/>
    <x v="97"/>
    <x v="0"/>
    <x v="97"/>
    <x v="0"/>
    <x v="0"/>
  </r>
  <r>
    <x v="97"/>
    <m/>
    <x v="83"/>
    <s v="https://ae01.alicdn.com/kf/H08cc55e6d071425b8ba87b301d27ed9bF/3d-Printer-guide-rail-sets-T8-Lead-screw-length-400mm-linear-shaft-8-400mm-KP08-SK8.jpg_x000a_"/>
    <x v="1"/>
    <x v="28"/>
    <x v="98"/>
    <x v="1"/>
    <x v="98"/>
    <x v="0"/>
    <x v="0"/>
  </r>
  <r>
    <x v="98"/>
    <m/>
    <x v="84"/>
    <s v="https://cdn-global-hk.hobbyking.com/media/catalog/product/cache/1/image/660x415/17f82f742ffe127f42dca9de82fb58b1/legacy/catalog/37322.jpg_x000a_"/>
    <x v="3"/>
    <x v="2"/>
    <x v="99"/>
    <x v="1"/>
    <x v="99"/>
    <x v="0"/>
    <x v="0"/>
  </r>
  <r>
    <x v="99"/>
    <m/>
    <x v="71"/>
    <s v="https://a.pololu-files.com/picture/0J5806.1200.jpg?c8b077547880443247671b2d4d534ef4_x000a_DRV8825"/>
    <x v="1"/>
    <x v="29"/>
    <x v="100"/>
    <x v="1"/>
    <x v="100"/>
    <x v="0"/>
    <x v="0"/>
  </r>
  <r>
    <x v="100"/>
    <n v="0"/>
    <x v="57"/>
    <s v="https://www.henryschein.com/Products/2429203_US_front_01_600x600.jpg_x000a_"/>
    <x v="7"/>
    <x v="2"/>
    <x v="101"/>
    <x v="1"/>
    <x v="101"/>
    <x v="0"/>
    <x v="0"/>
  </r>
  <r>
    <x v="101"/>
    <m/>
    <x v="80"/>
    <s v="https://canada.newark.com/productimages/standard/en_US/34M6427-40.jpg_x000a_"/>
    <x v="7"/>
    <x v="30"/>
    <x v="102"/>
    <x v="1"/>
    <x v="102"/>
    <x v="0"/>
    <x v="0"/>
  </r>
  <r>
    <x v="102"/>
    <n v="25"/>
    <x v="85"/>
    <s v="https://abra-electronics.com/images/detailed/152/JGA25-370-6V100-E_1ius-t6_prnl-67.jpg_x000a_https://abra-electronics.com/images/detailed/152/JGA25-370-6V100-E_1ius-t6_prnl-67.jpg"/>
    <x v="7"/>
    <x v="2"/>
    <x v="103"/>
    <x v="0"/>
    <x v="103"/>
    <x v="0"/>
    <x v="0"/>
  </r>
  <r>
    <x v="103"/>
    <m/>
    <x v="86"/>
    <s v="https://m.media-amazon.com/images/I/51+HFf9D-VL._SL1000_.jpg_x000a_https://m.media-amazon.com/images/I/51+HFf9D-VL._SL1000_.jpg"/>
    <x v="6"/>
    <x v="2"/>
    <x v="104"/>
    <x v="1"/>
    <x v="104"/>
    <x v="0"/>
    <x v="0"/>
  </r>
  <r>
    <x v="104"/>
    <n v="20"/>
    <x v="85"/>
    <m/>
    <x v="3"/>
    <x v="2"/>
    <x v="105"/>
    <x v="1"/>
    <x v="105"/>
    <x v="0"/>
    <x v="0"/>
  </r>
  <r>
    <x v="105"/>
    <n v="3120"/>
    <x v="85"/>
    <m/>
    <x v="7"/>
    <x v="2"/>
    <x v="106"/>
    <x v="0"/>
    <x v="106"/>
    <x v="0"/>
    <x v="0"/>
  </r>
  <r>
    <x v="106"/>
    <n v="77"/>
    <x v="85"/>
    <s v="https://i5.walmartimages.com/asr/c8695ffc-7634-4f19-bd5f-b9bb7dce3003.be7c792a462d12b1d8d555cc68f9e128.jpeg?odnHeight=612&amp;odnWidth=612&amp;odnBg=FFFFFF_x000a_https://i5.walmartimages.com/asr/c8695ffc-7634-4f19-bd5f-b9bb7dce3003.be7c792a462d12b1d8d555cc68f9e128.jpeg?odnHeight=612&amp;odnWidth=612&amp;odnBg=FFFFFF"/>
    <x v="6"/>
    <x v="31"/>
    <x v="107"/>
    <x v="0"/>
    <x v="107"/>
    <x v="0"/>
    <x v="0"/>
  </r>
  <r>
    <x v="107"/>
    <n v="15"/>
    <x v="85"/>
    <s v="https://abra-electronics.com/images/detailed/152/JGA25-370-6V100-E_1ius-t6.jpg_x000a_https://abra-electronics.com/images/detailed/152/JGA25-370-6V100-E_1ius-t6.jpg"/>
    <x v="1"/>
    <x v="32"/>
    <x v="108"/>
    <x v="2"/>
    <x v="108"/>
    <x v="0"/>
    <x v="0"/>
  </r>
  <r>
    <x v="108"/>
    <n v="5"/>
    <x v="85"/>
    <s v="https://abra-electronics.com/images/detailed/152/JGA25-370-6V100-E_1ius-t6.jpg_x000a_https://abra-electronics.com/images/detailed/152/JGA25-370-6V100-E_1ius-t6.jpg"/>
    <x v="1"/>
    <x v="2"/>
    <x v="109"/>
    <x v="2"/>
    <x v="109"/>
    <x v="0"/>
    <x v="0"/>
  </r>
  <r>
    <x v="109"/>
    <n v="4"/>
    <x v="85"/>
    <s v="https://cdn-shop.adafruit.com/970x728/858-04.jpg_x000a_https://cdn-shop.adafruit.com/970x728/858-04.jpg"/>
    <x v="1"/>
    <x v="33"/>
    <x v="110"/>
    <x v="2"/>
    <x v="11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28C364-7EA6-4E20-8A76-59196180DC3E}" name="PivotHardware" cacheId="1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6" indent="0" compact="0" compactData="0" multipleFieldFilters="0" fieldListSortAscending="1">
  <location ref="A2:F126" firstHeaderRow="1" firstDataRow="1" firstDataCol="6"/>
  <pivotFields count="19">
    <pivotField axis="axisRow" compact="0" outline="0" showAll="0" defaultSubtotal="0">
      <items count="148">
        <item x="68"/>
        <item x="69"/>
        <item x="78"/>
        <item x="75"/>
        <item x="74"/>
        <item x="64"/>
        <item x="63"/>
        <item x="61"/>
        <item x="54"/>
        <item x="65"/>
        <item x="53"/>
        <item x="62"/>
        <item x="80"/>
        <item x="71"/>
        <item x="60"/>
        <item x="59"/>
        <item x="52"/>
        <item x="49"/>
        <item x="48"/>
        <item x="46"/>
        <item x="47"/>
        <item m="1" x="140"/>
        <item m="1" x="137"/>
        <item m="1" x="141"/>
        <item m="1" x="138"/>
        <item x="82"/>
        <item x="67"/>
        <item x="79"/>
        <item x="73"/>
        <item x="77"/>
        <item x="76"/>
        <item x="55"/>
        <item x="56"/>
        <item x="57"/>
        <item x="58"/>
        <item x="81"/>
        <item m="1" x="144"/>
        <item m="1" x="131"/>
        <item m="1" x="135"/>
        <item m="1" x="143"/>
        <item m="1" x="132"/>
        <item m="1" x="136"/>
        <item x="40"/>
        <item x="38"/>
        <item x="37"/>
        <item x="39"/>
        <item m="1" x="142"/>
        <item m="1" x="145"/>
        <item m="1" x="146"/>
        <item m="1" x="147"/>
        <item x="87"/>
        <item x="44"/>
        <item x="43"/>
        <item x="41"/>
        <item x="42"/>
        <item x="4"/>
        <item x="0"/>
        <item x="1"/>
        <item x="2"/>
        <item x="3"/>
        <item x="8"/>
        <item x="7"/>
        <item x="72"/>
        <item x="51"/>
        <item x="21"/>
        <item x="23"/>
        <item x="22"/>
        <item x="83"/>
        <item x="84"/>
        <item x="85"/>
        <item x="88"/>
        <item x="13"/>
        <item x="14"/>
        <item x="15"/>
        <item x="16"/>
        <item x="17"/>
        <item x="18"/>
        <item x="10"/>
        <item x="11"/>
        <item x="12"/>
        <item x="90"/>
        <item x="45"/>
        <item m="1" x="129"/>
        <item x="19"/>
        <item x="20"/>
        <item x="5"/>
        <item x="9"/>
        <item x="122"/>
        <item x="50"/>
        <item x="70"/>
        <item x="66"/>
        <item x="6"/>
        <item x="91"/>
        <item x="92"/>
        <item m="1" x="124"/>
        <item m="1" x="125"/>
        <item m="1" x="130"/>
        <item m="1" x="134"/>
        <item m="1" x="133"/>
        <item x="93"/>
        <item x="94"/>
        <item x="113"/>
        <item x="95"/>
        <item x="96"/>
        <item m="1" x="139"/>
        <item x="98"/>
        <item x="99"/>
        <item x="100"/>
        <item x="101"/>
        <item x="102"/>
        <item x="103"/>
        <item m="1" x="128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86"/>
        <item m="1" x="126"/>
        <item m="1" x="127"/>
        <item x="97"/>
        <item x="105"/>
        <item x="106"/>
        <item x="107"/>
        <item x="108"/>
        <item x="109"/>
        <item x="110"/>
        <item x="111"/>
        <item x="112"/>
        <item x="89"/>
        <item x="114"/>
        <item x="115"/>
        <item x="116"/>
        <item x="117"/>
        <item x="118"/>
        <item x="119"/>
        <item x="120"/>
        <item x="121"/>
        <item x="123"/>
        <item x="104"/>
      </items>
    </pivotField>
    <pivotField axis="axisRow" compact="0" outline="0" showAll="0" defaultSubtotal="0">
      <items count="65">
        <item x="36"/>
        <item x="39"/>
        <item x="28"/>
        <item x="0"/>
        <item x="16"/>
        <item x="9"/>
        <item x="15"/>
        <item x="6"/>
        <item x="17"/>
        <item x="8"/>
        <item x="7"/>
        <item x="24"/>
        <item x="11"/>
        <item x="10"/>
        <item x="25"/>
        <item x="29"/>
        <item x="21"/>
        <item x="22"/>
        <item x="20"/>
        <item m="1" x="64"/>
        <item x="12"/>
        <item x="19"/>
        <item x="13"/>
        <item m="1" x="62"/>
        <item x="14"/>
        <item x="40"/>
        <item x="30"/>
        <item x="41"/>
        <item x="37"/>
        <item x="23"/>
        <item x="31"/>
        <item x="1"/>
        <item x="32"/>
        <item x="27"/>
        <item x="35"/>
        <item x="33"/>
        <item x="2"/>
        <item x="34"/>
        <item x="4"/>
        <item m="1" x="54"/>
        <item m="1" x="60"/>
        <item x="5"/>
        <item x="38"/>
        <item x="42"/>
        <item x="43"/>
        <item m="1" x="55"/>
        <item m="1" x="56"/>
        <item m="1" x="63"/>
        <item m="1" x="61"/>
        <item x="44"/>
        <item x="45"/>
        <item x="18"/>
        <item x="26"/>
        <item x="46"/>
        <item x="47"/>
        <item x="48"/>
        <item x="49"/>
        <item m="1" x="57"/>
        <item m="1" x="58"/>
        <item x="50"/>
        <item x="51"/>
        <item x="53"/>
        <item m="1" x="59"/>
        <item x="3"/>
        <item x="52"/>
      </items>
    </pivotField>
    <pivotField compact="0" outline="0" showAll="0" defaultSubtotal="0"/>
    <pivotField axis="axisRow" compact="0" outline="0" showAll="0" defaultSubtotal="0">
      <items count="84">
        <item x="28"/>
        <item x="45"/>
        <item x="52"/>
        <item x="27"/>
        <item m="1" x="77"/>
        <item x="18"/>
        <item x="56"/>
        <item x="4"/>
        <item x="6"/>
        <item x="58"/>
        <item x="0"/>
        <item x="12"/>
        <item x="13"/>
        <item x="54"/>
        <item x="53"/>
        <item x="50"/>
        <item x="51"/>
        <item x="41"/>
        <item x="14"/>
        <item x="8"/>
        <item x="15"/>
        <item x="42"/>
        <item x="60"/>
        <item x="1"/>
        <item x="57"/>
        <item x="26"/>
        <item x="55"/>
        <item x="16"/>
        <item m="1" x="80"/>
        <item m="1" x="83"/>
        <item x="30"/>
        <item x="39"/>
        <item x="48"/>
        <item x="46"/>
        <item x="34"/>
        <item x="37"/>
        <item x="32"/>
        <item m="1" x="82"/>
        <item x="31"/>
        <item x="44"/>
        <item x="38"/>
        <item x="49"/>
        <item x="33"/>
        <item x="47"/>
        <item x="25"/>
        <item x="17"/>
        <item x="5"/>
        <item x="43"/>
        <item x="59"/>
        <item x="2"/>
        <item x="21"/>
        <item x="20"/>
        <item x="24"/>
        <item x="9"/>
        <item x="10"/>
        <item x="3"/>
        <item x="11"/>
        <item x="61"/>
        <item x="35"/>
        <item x="40"/>
        <item m="1" x="81"/>
        <item x="36"/>
        <item x="19"/>
        <item x="23"/>
        <item x="29"/>
        <item x="22"/>
        <item x="7"/>
        <item m="1" x="78"/>
        <item m="1" x="79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31">
        <item x="0"/>
        <item m="1" x="124"/>
        <item m="1" x="128"/>
        <item x="9"/>
        <item x="10"/>
        <item x="11"/>
        <item x="12"/>
        <item x="13"/>
        <item x="14"/>
        <item x="15"/>
        <item x="16"/>
        <item x="17"/>
        <item x="1"/>
        <item x="18"/>
        <item x="19"/>
        <item x="20"/>
        <item x="21"/>
        <item x="22"/>
        <item x="23"/>
        <item x="24"/>
        <item x="25"/>
        <item x="26"/>
        <item x="2"/>
        <item x="27"/>
        <item x="28"/>
        <item x="29"/>
        <item x="30"/>
        <item x="31"/>
        <item x="32"/>
        <item x="33"/>
        <item x="34"/>
        <item x="35"/>
        <item x="36"/>
        <item x="3"/>
        <item x="37"/>
        <item x="38"/>
        <item x="39"/>
        <item x="40"/>
        <item x="41"/>
        <item x="42"/>
        <item x="43"/>
        <item x="44"/>
        <item x="45"/>
        <item x="46"/>
        <item x="4"/>
        <item x="47"/>
        <item x="48"/>
        <item x="49"/>
        <item x="50"/>
        <item x="51"/>
        <item x="52"/>
        <item x="53"/>
        <item x="54"/>
        <item x="55"/>
        <item x="56"/>
        <item x="5"/>
        <item x="57"/>
        <item x="58"/>
        <item x="59"/>
        <item x="60"/>
        <item x="61"/>
        <item x="62"/>
        <item x="63"/>
        <item x="64"/>
        <item x="65"/>
        <item x="66"/>
        <item x="6"/>
        <item x="67"/>
        <item x="68"/>
        <item x="69"/>
        <item x="70"/>
        <item x="71"/>
        <item x="72"/>
        <item x="73"/>
        <item x="74"/>
        <item x="75"/>
        <item x="76"/>
        <item x="7"/>
        <item x="77"/>
        <item x="78"/>
        <item x="79"/>
        <item x="80"/>
        <item x="81"/>
        <item x="82"/>
        <item x="83"/>
        <item x="84"/>
        <item x="85"/>
        <item x="86"/>
        <item x="8"/>
        <item x="87"/>
        <item x="88"/>
        <item x="89"/>
        <item x="90"/>
        <item x="91"/>
        <item x="92"/>
        <item m="1" x="125"/>
        <item m="1" x="126"/>
        <item m="1" x="127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m="1" x="130"/>
        <item x="108"/>
        <item x="109"/>
        <item x="110"/>
        <item x="111"/>
        <item m="1" x="129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">
        <item x="0"/>
        <item x="7"/>
        <item x="3"/>
        <item x="1"/>
        <item x="4"/>
        <item x="8"/>
        <item x="6"/>
        <item x="5"/>
        <item x="9"/>
        <item x="2"/>
      </items>
    </pivotField>
    <pivotField axis="axisRow" compact="0" outline="0" subtotalTop="0" showAll="0" defaultSubtotal="0">
      <items count="5">
        <item m="1" x="4"/>
        <item x="0"/>
        <item x="1"/>
        <item m="1" x="3"/>
        <item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</pivotFields>
  <rowFields count="6">
    <field x="13"/>
    <field x="0"/>
    <field x="3"/>
    <field x="1"/>
    <field x="14"/>
    <field x="10"/>
  </rowFields>
  <rowItems count="124">
    <i>
      <x/>
      <x v="55"/>
      <x v="7"/>
      <x v="3"/>
      <x v="1"/>
      <x v="44"/>
    </i>
    <i r="1">
      <x v="56"/>
      <x v="10"/>
      <x v="3"/>
      <x v="1"/>
      <x/>
    </i>
    <i r="1">
      <x v="57"/>
      <x v="23"/>
      <x v="3"/>
      <x v="1"/>
      <x v="12"/>
    </i>
    <i r="1">
      <x v="58"/>
      <x v="49"/>
      <x v="3"/>
      <x v="1"/>
      <x v="22"/>
    </i>
    <i r="1">
      <x v="59"/>
      <x v="55"/>
      <x v="3"/>
      <x v="1"/>
      <x v="33"/>
    </i>
    <i r="1">
      <x v="85"/>
      <x v="46"/>
      <x v="31"/>
      <x v="2"/>
      <x v="55"/>
    </i>
    <i>
      <x v="1"/>
      <x v="8"/>
      <x v="17"/>
      <x v="26"/>
      <x v="1"/>
      <x v="52"/>
    </i>
    <i r="1">
      <x v="10"/>
      <x v="25"/>
      <x v="15"/>
      <x v="1"/>
      <x v="51"/>
    </i>
    <i r="1">
      <x v="31"/>
      <x v="17"/>
      <x v="30"/>
      <x v="1"/>
      <x v="53"/>
    </i>
    <i r="1">
      <x v="32"/>
      <x v="21"/>
      <x v="32"/>
      <x v="1"/>
      <x v="54"/>
    </i>
    <i r="1">
      <x v="33"/>
      <x v="44"/>
      <x v="35"/>
      <x v="1"/>
      <x v="56"/>
    </i>
    <i r="1">
      <x v="34"/>
      <x v="47"/>
      <x v="37"/>
      <x v="1"/>
      <x v="57"/>
    </i>
    <i r="1">
      <x v="69"/>
      <x v="66"/>
      <x v="17"/>
      <x v="2"/>
      <x v="86"/>
    </i>
    <i r="1">
      <x v="136"/>
      <x v="21"/>
      <x v="61"/>
      <x v="1"/>
      <x v="119"/>
    </i>
    <i>
      <x v="2"/>
      <x v="5"/>
      <x v="41"/>
      <x v="17"/>
      <x v="1"/>
      <x v="63"/>
    </i>
    <i r="1">
      <x v="6"/>
      <x v="32"/>
      <x v="14"/>
      <x v="1"/>
      <x v="62"/>
    </i>
    <i r="1">
      <x v="7"/>
      <x v="33"/>
      <x v="14"/>
      <x v="1"/>
      <x v="60"/>
    </i>
    <i r="1">
      <x v="9"/>
      <x v="21"/>
      <x v="34"/>
      <x v="4"/>
      <x v="64"/>
    </i>
    <i r="1">
      <x v="11"/>
      <x v="43"/>
      <x v="14"/>
      <x v="1"/>
      <x v="61"/>
    </i>
    <i r="1">
      <x v="14"/>
      <x v="1"/>
      <x v="16"/>
      <x v="1"/>
      <x v="59"/>
    </i>
    <i r="1">
      <x v="15"/>
      <x v="39"/>
      <x v="5"/>
      <x v="1"/>
      <x v="58"/>
    </i>
    <i r="1">
      <x v="17"/>
      <x v="31"/>
      <x v="14"/>
      <x v="1"/>
      <x v="47"/>
    </i>
    <i r="1">
      <x v="18"/>
      <x v="40"/>
      <x v="10"/>
      <x v="1"/>
      <x v="46"/>
    </i>
    <i r="1">
      <x v="19"/>
      <x v="35"/>
      <x v="52"/>
      <x v="1"/>
      <x v="43"/>
    </i>
    <i r="1">
      <x v="20"/>
      <x v="66"/>
      <x v="18"/>
      <x v="1"/>
      <x v="45"/>
    </i>
    <i r="1">
      <x v="42"/>
      <x v="38"/>
      <x v="5"/>
      <x v="1"/>
      <x v="37"/>
    </i>
    <i r="1">
      <x v="43"/>
      <x v="66"/>
      <x v="9"/>
      <x v="4"/>
      <x v="35"/>
    </i>
    <i r="1">
      <x v="44"/>
      <x v="66"/>
      <x v="6"/>
      <x v="1"/>
      <x v="34"/>
    </i>
    <i r="1">
      <x v="45"/>
      <x v="30"/>
      <x v="9"/>
      <x v="1"/>
      <x v="36"/>
    </i>
    <i r="1">
      <x v="51"/>
      <x v="58"/>
      <x v="14"/>
      <x v="1"/>
      <x v="41"/>
    </i>
    <i r="1">
      <x v="52"/>
      <x v="34"/>
      <x v="12"/>
      <x v="1"/>
      <x v="40"/>
    </i>
    <i r="1">
      <x v="53"/>
      <x v="36"/>
      <x v="3"/>
      <x v="1"/>
      <x v="38"/>
    </i>
    <i r="1">
      <x v="54"/>
      <x v="42"/>
      <x v="14"/>
      <x v="1"/>
      <x v="39"/>
    </i>
    <i r="1">
      <x v="67"/>
      <x v="66"/>
      <x v="42"/>
      <x v="2"/>
      <x v="84"/>
    </i>
    <i r="1">
      <x v="71"/>
      <x v="11"/>
      <x v="10"/>
      <x v="1"/>
      <x v="7"/>
    </i>
    <i r="1">
      <x v="72"/>
      <x v="12"/>
      <x v="5"/>
      <x v="1"/>
      <x v="8"/>
    </i>
    <i r="1">
      <x v="73"/>
      <x v="18"/>
      <x v="13"/>
      <x v="1"/>
      <x v="9"/>
    </i>
    <i r="1">
      <x v="74"/>
      <x v="20"/>
      <x v="10"/>
      <x v="1"/>
      <x v="10"/>
    </i>
    <i r="1">
      <x v="75"/>
      <x v="27"/>
      <x v="12"/>
      <x v="1"/>
      <x v="11"/>
    </i>
    <i r="1">
      <x v="76"/>
      <x v="45"/>
      <x v="20"/>
      <x v="1"/>
      <x v="13"/>
    </i>
    <i r="1">
      <x v="77"/>
      <x v="53"/>
      <x v="7"/>
      <x v="4"/>
      <x v="4"/>
    </i>
    <i r="1">
      <x v="78"/>
      <x v="54"/>
      <x v="10"/>
      <x v="2"/>
      <x v="5"/>
    </i>
    <i r="1">
      <x v="79"/>
      <x v="56"/>
      <x v="9"/>
      <x v="4"/>
      <x v="6"/>
    </i>
    <i r="1">
      <x v="83"/>
      <x v="27"/>
      <x v="22"/>
      <x v="2"/>
      <x v="14"/>
    </i>
    <i r="1">
      <x v="84"/>
      <x v="27"/>
      <x v="24"/>
      <x v="2"/>
      <x v="15"/>
    </i>
    <i r="1">
      <x v="101"/>
      <x v="66"/>
      <x v="42"/>
      <x v="1"/>
      <x v="120"/>
    </i>
    <i r="1">
      <x v="134"/>
      <x v="74"/>
      <x v="51"/>
      <x v="1"/>
      <x v="116"/>
    </i>
    <i r="1">
      <x v="135"/>
      <x v="75"/>
      <x v="64"/>
      <x v="1"/>
      <x v="117"/>
    </i>
    <i r="1">
      <x v="138"/>
      <x v="66"/>
      <x v="42"/>
      <x v="1"/>
      <x v="121"/>
    </i>
    <i r="1">
      <x v="139"/>
      <x v="76"/>
      <x v="6"/>
      <x v="1"/>
      <x v="122"/>
    </i>
    <i r="1">
      <x v="140"/>
      <x v="77"/>
      <x v="14"/>
      <x v="1"/>
      <x v="123"/>
    </i>
    <i r="1">
      <x v="141"/>
      <x v="78"/>
      <x v="11"/>
      <x v="1"/>
      <x v="124"/>
    </i>
    <i r="1">
      <x v="142"/>
      <x v="79"/>
      <x v="10"/>
      <x v="1"/>
      <x v="125"/>
    </i>
    <i r="1">
      <x v="143"/>
      <x v="80"/>
      <x v="10"/>
      <x v="1"/>
      <x v="126"/>
    </i>
    <i r="1">
      <x v="144"/>
      <x v="81"/>
      <x v="15"/>
      <x v="1"/>
      <x v="127"/>
    </i>
    <i r="1">
      <x v="145"/>
      <x v="82"/>
      <x v="17"/>
      <x v="1"/>
      <x v="128"/>
    </i>
    <i>
      <x v="3"/>
      <x/>
      <x v="2"/>
      <x v="42"/>
      <x v="2"/>
      <x v="68"/>
    </i>
    <i r="1">
      <x v="1"/>
      <x v="3"/>
      <x v="13"/>
      <x v="2"/>
      <x v="69"/>
    </i>
    <i r="1">
      <x v="26"/>
      <x v="16"/>
      <x v="28"/>
      <x v="2"/>
      <x v="67"/>
    </i>
    <i r="1">
      <x v="87"/>
      <x v="83"/>
      <x v="15"/>
      <x v="1"/>
      <x v="129"/>
    </i>
    <i r="1">
      <x v="88"/>
      <x v="66"/>
      <x v="33"/>
      <x v="2"/>
      <x v="48"/>
    </i>
    <i r="1">
      <x v="89"/>
      <x v="3"/>
      <x v="1"/>
      <x v="2"/>
      <x v="70"/>
    </i>
    <i r="1">
      <x v="90"/>
      <x v="15"/>
      <x/>
      <x v="2"/>
      <x v="65"/>
    </i>
    <i r="1">
      <x v="91"/>
      <x v="8"/>
      <x v="36"/>
      <x v="1"/>
      <x v="66"/>
    </i>
    <i r="1">
      <x v="102"/>
      <x v="66"/>
      <x v="53"/>
      <x v="1"/>
      <x v="100"/>
    </i>
    <i r="1">
      <x v="103"/>
      <x v="66"/>
      <x v="54"/>
      <x v="1"/>
      <x v="101"/>
    </i>
    <i r="1">
      <x v="109"/>
      <x v="66"/>
      <x v="29"/>
      <x v="1"/>
      <x v="107"/>
    </i>
    <i r="1">
      <x v="110"/>
      <x v="72"/>
      <x v="56"/>
      <x v="1"/>
      <x v="108"/>
    </i>
    <i r="1">
      <x v="129"/>
      <x v="73"/>
      <x v="59"/>
      <x v="1"/>
      <x v="110"/>
    </i>
    <i r="1">
      <x v="130"/>
      <x v="66"/>
      <x v="60"/>
      <x v="1"/>
      <x v="111"/>
    </i>
    <i>
      <x v="4"/>
      <x v="13"/>
      <x v="14"/>
      <x v="2"/>
      <x v="1"/>
      <x v="71"/>
    </i>
    <i r="1">
      <x v="16"/>
      <x v="66"/>
      <x v="2"/>
      <x v="4"/>
      <x v="50"/>
    </i>
    <i r="1">
      <x v="28"/>
      <x v="26"/>
      <x v="25"/>
      <x v="2"/>
      <x v="73"/>
    </i>
    <i r="1">
      <x v="50"/>
      <x v="57"/>
      <x v="4"/>
      <x v="1"/>
      <x v="89"/>
    </i>
    <i r="1">
      <x v="62"/>
      <x v="13"/>
      <x v="3"/>
      <x v="1"/>
      <x v="72"/>
    </i>
    <i r="1">
      <x v="63"/>
      <x v="59"/>
      <x v="3"/>
      <x v="1"/>
      <x v="49"/>
    </i>
    <i r="1">
      <x v="64"/>
      <x v="66"/>
      <x v="6"/>
      <x v="1"/>
      <x v="16"/>
    </i>
    <i r="1">
      <x v="65"/>
      <x v="66"/>
      <x v="8"/>
      <x v="1"/>
      <x v="18"/>
    </i>
    <i r="1">
      <x v="66"/>
      <x v="66"/>
      <x v="4"/>
      <x v="1"/>
      <x v="17"/>
    </i>
    <i r="1">
      <x v="68"/>
      <x v="66"/>
      <x v="20"/>
      <x v="2"/>
      <x v="85"/>
    </i>
    <i r="1">
      <x v="70"/>
      <x v="61"/>
      <x v="7"/>
      <x v="1"/>
      <x v="90"/>
    </i>
    <i r="1">
      <x v="146"/>
      <x v="66"/>
      <x v="3"/>
      <x v="1"/>
      <x v="130"/>
    </i>
    <i r="1">
      <x v="147"/>
      <x v="66"/>
      <x v="13"/>
      <x v="4"/>
      <x v="109"/>
    </i>
    <i>
      <x v="5"/>
      <x v="2"/>
      <x v="6"/>
      <x v="27"/>
      <x v="1"/>
      <x v="79"/>
    </i>
    <i r="1">
      <x v="12"/>
      <x v="9"/>
      <x/>
      <x v="1"/>
      <x v="81"/>
    </i>
    <i r="1">
      <x v="25"/>
      <x v="22"/>
      <x v="14"/>
      <x v="1"/>
      <x v="83"/>
    </i>
    <i r="1">
      <x v="27"/>
      <x v="24"/>
      <x v="7"/>
      <x v="1"/>
      <x v="80"/>
    </i>
    <i r="1">
      <x v="35"/>
      <x v="48"/>
      <x v="9"/>
      <x v="1"/>
      <x v="82"/>
    </i>
    <i>
      <x v="6"/>
      <x v="3"/>
      <x v="6"/>
      <x v="4"/>
      <x v="1"/>
      <x v="75"/>
    </i>
    <i r="1">
      <x v="4"/>
      <x v="6"/>
      <x v="5"/>
      <x v="4"/>
      <x v="74"/>
    </i>
    <i r="1">
      <x v="29"/>
      <x v="26"/>
      <x v="8"/>
      <x v="1"/>
      <x v="78"/>
    </i>
    <i r="1">
      <x v="30"/>
      <x v="26"/>
      <x v="11"/>
      <x v="1"/>
      <x v="76"/>
    </i>
    <i r="1">
      <x v="80"/>
      <x v="66"/>
      <x/>
      <x v="1"/>
      <x v="92"/>
    </i>
    <i r="1">
      <x v="81"/>
      <x v="61"/>
      <x v="3"/>
      <x v="1"/>
      <x v="42"/>
    </i>
    <i r="1">
      <x v="105"/>
      <x v="66"/>
      <x v="1"/>
      <x v="1"/>
      <x v="103"/>
    </i>
    <i r="1">
      <x v="106"/>
      <x v="66"/>
      <x v="2"/>
      <x v="1"/>
      <x v="104"/>
    </i>
    <i>
      <x v="7"/>
      <x v="112"/>
      <x v="5"/>
      <x v="8"/>
      <x v="2"/>
      <x v="19"/>
    </i>
    <i r="1">
      <x v="113"/>
      <x v="62"/>
      <x v="5"/>
      <x v="1"/>
      <x v="20"/>
    </i>
    <i r="1">
      <x v="114"/>
      <x v="51"/>
      <x v="13"/>
      <x v="1"/>
      <x v="21"/>
    </i>
    <i r="1">
      <x v="115"/>
      <x v="50"/>
      <x v="51"/>
      <x v="1"/>
      <x v="23"/>
    </i>
    <i r="1">
      <x v="116"/>
      <x v="65"/>
      <x v="6"/>
      <x v="1"/>
      <x v="24"/>
    </i>
    <i r="1">
      <x v="117"/>
      <x v="63"/>
      <x v="20"/>
      <x v="1"/>
      <x v="25"/>
    </i>
    <i r="1">
      <x v="118"/>
      <x v="52"/>
      <x v="5"/>
      <x v="1"/>
      <x v="26"/>
    </i>
    <i r="1">
      <x v="119"/>
      <x v="44"/>
      <x v="21"/>
      <x v="1"/>
      <x v="27"/>
    </i>
    <i r="1">
      <x v="120"/>
      <x v="25"/>
      <x v="18"/>
      <x v="2"/>
      <x v="28"/>
    </i>
    <i r="1">
      <x v="121"/>
      <x v="3"/>
      <x v="16"/>
      <x v="4"/>
      <x v="29"/>
    </i>
    <i r="1">
      <x v="122"/>
      <x/>
      <x v="17"/>
      <x v="1"/>
      <x v="30"/>
    </i>
    <i r="1">
      <x v="123"/>
      <x v="44"/>
      <x v="29"/>
      <x v="1"/>
      <x v="31"/>
    </i>
    <i r="1">
      <x v="124"/>
      <x v="64"/>
      <x v="11"/>
      <x v="4"/>
      <x v="32"/>
    </i>
    <i r="1">
      <x v="125"/>
      <x v="21"/>
      <x v="20"/>
      <x v="1"/>
      <x v="87"/>
    </i>
    <i r="1">
      <x v="128"/>
      <x v="5"/>
      <x v="10"/>
      <x v="1"/>
      <x v="102"/>
    </i>
    <i r="1">
      <x v="131"/>
      <x v="1"/>
      <x v="3"/>
      <x v="1"/>
      <x v="112"/>
    </i>
    <i r="1">
      <x v="132"/>
      <x v="17"/>
      <x v="5"/>
      <x v="1"/>
      <x v="114"/>
    </i>
    <i r="1">
      <x v="133"/>
      <x v="15"/>
      <x v="7"/>
      <x v="1"/>
      <x v="115"/>
    </i>
    <i>
      <x v="8"/>
      <x v="137"/>
      <x v="61"/>
      <x v="11"/>
      <x v="1"/>
      <x v="91"/>
    </i>
    <i>
      <x v="9"/>
      <x v="60"/>
      <x v="66"/>
      <x v="38"/>
      <x v="2"/>
      <x v="88"/>
    </i>
    <i r="1">
      <x v="61"/>
      <x v="66"/>
      <x v="63"/>
      <x v="2"/>
      <x v="77"/>
    </i>
    <i r="1">
      <x v="86"/>
      <x v="19"/>
      <x v="41"/>
      <x v="2"/>
      <x v="3"/>
    </i>
    <i r="1">
      <x v="92"/>
      <x v="66"/>
      <x v="43"/>
      <x v="1"/>
      <x v="93"/>
    </i>
    <i r="1">
      <x v="93"/>
      <x v="66"/>
      <x v="44"/>
      <x v="1"/>
      <x v="94"/>
    </i>
    <i r="1">
      <x v="99"/>
      <x v="69"/>
      <x v="49"/>
      <x v="4"/>
      <x v="98"/>
    </i>
    <i r="1">
      <x v="100"/>
      <x v="70"/>
      <x v="50"/>
      <x v="4"/>
      <x v="99"/>
    </i>
    <i r="1">
      <x v="107"/>
      <x v="71"/>
      <x v="55"/>
      <x v="1"/>
      <x v="105"/>
    </i>
    <i r="1">
      <x v="108"/>
      <x v="71"/>
      <x v="55"/>
      <x v="1"/>
      <x v="106"/>
    </i>
  </rowItems>
  <colItems count="1">
    <i/>
  </colItems>
  <formats count="11">
    <format dxfId="1042">
      <pivotArea type="all" dataOnly="0" outline="0" fieldPosition="0"/>
    </format>
    <format dxfId="1041">
      <pivotArea field="0" type="button" dataOnly="0" labelOnly="1" outline="0" axis="axisRow" fieldPosition="1"/>
    </format>
    <format dxfId="1040">
      <pivotArea field="13" type="button" dataOnly="0" labelOnly="1" outline="0" axis="axisRow" fieldPosition="0"/>
    </format>
    <format dxfId="1039">
      <pivotArea field="3" type="button" dataOnly="0" labelOnly="1" outline="0" axis="axisRow" fieldPosition="2"/>
    </format>
    <format dxfId="1038">
      <pivotArea field="1" type="button" dataOnly="0" labelOnly="1" outline="0" axis="axisRow" fieldPosition="3"/>
    </format>
    <format dxfId="1037">
      <pivotArea dataOnly="0" labelOnly="1" outline="0" fieldPosition="0">
        <references count="1">
          <reference field="0" count="0"/>
        </references>
      </pivotArea>
    </format>
    <format dxfId="1036">
      <pivotArea dataOnly="0" labelOnly="1" outline="0" fieldPosition="0">
        <references count="2">
          <reference field="0" count="1" selected="0">
            <x v="14"/>
          </reference>
          <reference field="13" count="1">
            <x v="7"/>
          </reference>
        </references>
      </pivotArea>
    </format>
    <format dxfId="1035">
      <pivotArea dataOnly="0" labelOnly="1" outline="0" fieldPosition="0">
        <references count="3">
          <reference field="0" count="1" selected="0">
            <x v="14"/>
          </reference>
          <reference field="3" count="1">
            <x v="1"/>
          </reference>
          <reference field="13" count="1" selected="0">
            <x v="7"/>
          </reference>
        </references>
      </pivotArea>
    </format>
    <format dxfId="1034">
      <pivotArea dataOnly="0" labelOnly="1" outline="0" fieldPosition="0">
        <references count="3">
          <reference field="0" count="1" selected="0">
            <x v="39"/>
          </reference>
          <reference field="3" count="1">
            <x v="62"/>
          </reference>
          <reference field="13" count="1" selected="0">
            <x v="7"/>
          </reference>
        </references>
      </pivotArea>
    </format>
    <format dxfId="1033">
      <pivotArea dataOnly="0" labelOnly="1" outline="0" fieldPosition="0">
        <references count="4">
          <reference field="0" count="1" selected="0">
            <x v="14"/>
          </reference>
          <reference field="1" count="1">
            <x v="23"/>
          </reference>
          <reference field="3" count="1" selected="0">
            <x v="1"/>
          </reference>
          <reference field="13" count="1" selected="0">
            <x v="7"/>
          </reference>
        </references>
      </pivotArea>
    </format>
    <format dxfId="1032">
      <pivotArea dataOnly="0" labelOnly="1" outline="0" fieldPosition="0">
        <references count="4">
          <reference field="0" count="1" selected="0">
            <x v="39"/>
          </reference>
          <reference field="1" count="1">
            <x v="5"/>
          </reference>
          <reference field="3" count="1" selected="0">
            <x v="62"/>
          </reference>
          <reference field="13" count="1" selected="0">
            <x v="7"/>
          </reference>
        </references>
      </pivotArea>
    </format>
  </formats>
  <pivotTableStyleInfo name="PivotStyleLight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5645A8-AA52-47AB-9EB9-CDFFAB00BB31}" name="PivotMaterials" cacheId="0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6" indent="0" compact="0" compactData="0" multipleFieldFilters="0" fieldListSortAscending="1">
  <location ref="A2:G189" firstHeaderRow="1" firstDataRow="1" firstDataCol="7"/>
  <pivotFields count="18">
    <pivotField axis="axisRow" compact="0" outline="0" showAll="0" sortType="ascending" defaultSubtotal="0">
      <items count="202">
        <item x="115"/>
        <item x="106"/>
        <item x="108"/>
        <item x="107"/>
        <item x="111"/>
        <item x="114"/>
        <item x="110"/>
        <item x="112"/>
        <item x="94"/>
        <item x="95"/>
        <item x="178"/>
        <item x="182"/>
        <item x="181"/>
        <item x="155"/>
        <item x="154"/>
        <item x="147"/>
        <item x="153"/>
        <item x="152"/>
        <item x="148"/>
        <item x="2"/>
        <item x="1"/>
        <item x="5"/>
        <item x="7"/>
        <item x="6"/>
        <item x="46"/>
        <item x="8"/>
        <item x="10"/>
        <item x="9"/>
        <item x="4"/>
        <item x="3"/>
        <item x="36"/>
        <item x="37"/>
        <item x="38"/>
        <item m="1" x="196"/>
        <item x="60"/>
        <item x="59"/>
        <item m="1" x="201"/>
        <item x="32"/>
        <item x="30"/>
        <item m="1" x="200"/>
        <item x="33"/>
        <item x="31"/>
        <item x="39"/>
        <item x="89"/>
        <item x="79"/>
        <item x="87"/>
        <item x="78"/>
        <item x="85"/>
        <item x="83"/>
        <item x="81"/>
        <item x="80"/>
        <item x="84"/>
        <item x="82"/>
        <item x="88"/>
        <item x="86"/>
        <item x="41"/>
        <item x="75"/>
        <item x="71"/>
        <item x="67"/>
        <item x="65"/>
        <item x="77"/>
        <item x="76"/>
        <item x="66"/>
        <item x="73"/>
        <item x="69"/>
        <item x="68"/>
        <item x="72"/>
        <item x="70"/>
        <item x="74"/>
        <item x="40"/>
        <item m="1" x="199"/>
        <item m="1" x="190"/>
        <item m="1" x="197"/>
        <item m="1" x="185"/>
        <item m="1" x="198"/>
        <item x="25"/>
        <item x="17"/>
        <item x="24"/>
        <item x="58"/>
        <item x="49"/>
        <item x="50"/>
        <item x="170"/>
        <item x="172"/>
        <item x="48"/>
        <item m="1" x="184"/>
        <item x="165"/>
        <item x="167"/>
        <item x="166"/>
        <item x="42"/>
        <item x="43"/>
        <item x="53"/>
        <item x="52"/>
        <item x="51"/>
        <item x="34"/>
        <item x="35"/>
        <item x="91"/>
        <item x="93"/>
        <item x="90"/>
        <item m="1" x="195"/>
        <item x="27"/>
        <item x="14"/>
        <item x="26"/>
        <item x="103"/>
        <item x="104"/>
        <item x="102"/>
        <item x="145"/>
        <item x="144"/>
        <item x="143"/>
        <item x="16"/>
        <item x="164"/>
        <item x="180"/>
        <item x="176"/>
        <item x="63"/>
        <item x="47"/>
        <item x="21"/>
        <item x="28"/>
        <item m="1" x="186"/>
        <item m="1" x="194"/>
        <item m="1" x="193"/>
        <item m="1" x="192"/>
        <item x="105"/>
        <item x="18"/>
        <item x="19"/>
        <item x="179"/>
        <item x="45"/>
        <item x="44"/>
        <item x="23"/>
        <item x="168"/>
        <item x="97"/>
        <item x="146"/>
        <item x="98"/>
        <item x="151"/>
        <item x="150"/>
        <item x="149"/>
        <item x="101"/>
        <item x="62"/>
        <item x="99"/>
        <item m="1" x="188"/>
        <item x="139"/>
        <item x="138"/>
        <item x="12"/>
        <item m="1" x="189"/>
        <item x="142"/>
        <item x="141"/>
        <item x="20"/>
        <item m="1" x="191"/>
        <item x="156"/>
        <item x="157"/>
        <item m="1" x="187"/>
        <item x="137"/>
        <item x="136"/>
        <item x="11"/>
        <item x="22"/>
        <item x="140"/>
        <item x="0"/>
        <item m="1" x="183"/>
        <item x="96"/>
        <item x="128"/>
        <item x="131"/>
        <item x="125"/>
        <item x="123"/>
        <item x="134"/>
        <item x="135"/>
        <item x="122"/>
        <item x="127"/>
        <item x="129"/>
        <item x="121"/>
        <item x="126"/>
        <item x="119"/>
        <item x="130"/>
        <item x="124"/>
        <item x="57"/>
        <item x="55"/>
        <item x="56"/>
        <item x="118"/>
        <item x="133"/>
        <item x="132"/>
        <item x="120"/>
        <item x="109"/>
        <item x="173"/>
        <item x="160"/>
        <item x="175"/>
        <item x="162"/>
        <item x="177"/>
        <item x="159"/>
        <item x="163"/>
        <item x="171"/>
        <item x="161"/>
        <item x="169"/>
        <item x="117"/>
        <item x="61"/>
        <item x="92"/>
        <item x="29"/>
        <item x="13"/>
        <item x="113"/>
        <item x="100"/>
        <item x="174"/>
        <item x="158"/>
        <item x="116"/>
        <item x="54"/>
        <item x="15"/>
        <item x="64"/>
      </items>
    </pivotField>
    <pivotField axis="axisRow" compact="0" outline="0" subtotalTop="0" showAll="0" defaultSubtotal="0">
      <items count="24">
        <item x="19"/>
        <item x="1"/>
        <item x="17"/>
        <item x="8"/>
        <item x="6"/>
        <item m="1" x="22"/>
        <item x="11"/>
        <item x="4"/>
        <item x="12"/>
        <item x="10"/>
        <item m="1" x="23"/>
        <item x="7"/>
        <item x="3"/>
        <item x="5"/>
        <item x="15"/>
        <item x="2"/>
        <item x="9"/>
        <item x="16"/>
        <item x="13"/>
        <item x="14"/>
        <item x="21"/>
        <item x="0"/>
        <item x="18"/>
        <item x="20"/>
      </items>
    </pivotField>
    <pivotField compact="0" outline="0" subtotalTop="0" showAll="0" defaultSubtotal="0"/>
    <pivotField compact="0" outline="0" showAll="0" defaultSubtotal="0"/>
    <pivotField axis="axisRow" compact="0" outline="0" subtotalTop="0" showAll="0" defaultSubtotal="0">
      <items count="24">
        <item x="9"/>
        <item x="2"/>
        <item x="1"/>
        <item m="1" x="23"/>
        <item x="0"/>
        <item x="3"/>
        <item m="1" x="21"/>
        <item x="4"/>
        <item x="8"/>
        <item x="6"/>
        <item x="5"/>
        <item x="11"/>
        <item x="7"/>
        <item m="1" x="22"/>
        <item x="10"/>
        <item x="12"/>
        <item x="13"/>
        <item x="14"/>
        <item x="15"/>
        <item x="16"/>
        <item x="17"/>
        <item x="18"/>
        <item x="19"/>
        <item x="20"/>
      </items>
    </pivotField>
    <pivotField axis="axisRow" compact="0" outline="0" subtotalTop="0" showAll="0" defaultSubtotal="0">
      <items count="192"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1"/>
        <item x="84"/>
        <item x="85"/>
        <item x="86"/>
        <item x="87"/>
        <item x="88"/>
        <item x="89"/>
        <item x="90"/>
        <item x="91"/>
        <item x="2"/>
        <item x="3"/>
        <item x="4"/>
        <item x="5"/>
        <item x="6"/>
        <item x="7"/>
        <item x="8"/>
        <item x="9"/>
        <item x="10"/>
        <item x="11"/>
        <item x="12"/>
        <item x="0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m="1" x="188"/>
        <item x="49"/>
        <item x="50"/>
        <item x="51"/>
        <item x="52"/>
        <item x="53"/>
        <item x="54"/>
        <item x="55"/>
        <item x="56"/>
        <item x="57"/>
        <item x="58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m="1" x="189"/>
        <item m="1" x="190"/>
        <item m="1" x="191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m="1" x="187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</items>
    </pivotField>
    <pivotField compact="0" outline="0" showAll="0" defaultSubtotal="0"/>
    <pivotField compact="0" outline="0" showAll="0" defaultSubtotal="0"/>
    <pivotField axis="axisRow" compact="0" outline="0" subtotalTop="0" showAll="0" defaultSubtotal="0">
      <items count="4">
        <item x="2"/>
        <item x="1"/>
        <item x="0"/>
        <item x="3"/>
      </items>
    </pivotField>
    <pivotField axis="axisRow" compact="0" outline="0" subtotalTop="0" showAll="0" defaultSubtotal="0">
      <items count="2">
        <item x="0"/>
        <item x="1"/>
      </items>
    </pivotField>
    <pivotField axis="axisRow" compact="0" outline="0" showAll="0" defaultSubtotal="0">
      <items count="137">
        <item x="34"/>
        <item x="63"/>
        <item x="64"/>
        <item x="52"/>
        <item x="40"/>
        <item x="53"/>
        <item x="65"/>
        <item x="54"/>
        <item x="55"/>
        <item x="66"/>
        <item x="49"/>
        <item x="56"/>
        <item x="67"/>
        <item x="27"/>
        <item x="68"/>
        <item x="69"/>
        <item x="60"/>
        <item x="57"/>
        <item x="15"/>
        <item x="9"/>
        <item x="28"/>
        <item m="1" x="131"/>
        <item x="70"/>
        <item x="24"/>
        <item x="58"/>
        <item x="71"/>
        <item m="1" x="132"/>
        <item x="11"/>
        <item x="37"/>
        <item x="72"/>
        <item x="17"/>
        <item x="25"/>
        <item x="48"/>
        <item x="59"/>
        <item x="16"/>
        <item x="29"/>
        <item x="26"/>
        <item x="30"/>
        <item x="31"/>
        <item x="114"/>
        <item x="13"/>
        <item x="8"/>
        <item x="41"/>
        <item x="14"/>
        <item x="12"/>
        <item x="51"/>
        <item x="61"/>
        <item x="42"/>
        <item m="1" x="136"/>
        <item x="7"/>
        <item x="62"/>
        <item x="19"/>
        <item x="23"/>
        <item x="43"/>
        <item x="21"/>
        <item x="35"/>
        <item x="20"/>
        <item x="22"/>
        <item x="32"/>
        <item x="39"/>
        <item x="10"/>
        <item x="3"/>
        <item x="44"/>
        <item x="50"/>
        <item x="33"/>
        <item x="6"/>
        <item x="18"/>
        <item x="4"/>
        <item x="36"/>
        <item x="1"/>
        <item x="38"/>
        <item x="2"/>
        <item x="5"/>
        <item x="73"/>
        <item x="0"/>
        <item x="74"/>
        <item m="1" x="127"/>
        <item m="1" x="128"/>
        <item x="77"/>
        <item x="79"/>
        <item x="80"/>
        <item x="81"/>
        <item x="82"/>
        <item m="1" x="133"/>
        <item m="1" x="134"/>
        <item m="1" x="135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45"/>
        <item x="46"/>
        <item x="47"/>
        <item x="78"/>
        <item m="1" x="129"/>
        <item x="112"/>
        <item x="113"/>
        <item x="115"/>
        <item x="116"/>
        <item m="1" x="130"/>
        <item x="118"/>
        <item x="119"/>
        <item x="120"/>
        <item x="121"/>
        <item x="122"/>
        <item x="123"/>
        <item x="75"/>
        <item x="76"/>
        <item x="110"/>
        <item x="111"/>
        <item x="117"/>
        <item x="124"/>
        <item x="125"/>
        <item x="126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howAll="0" defaultSubtotal="0"/>
    <pivotField compact="0" outline="0" showAll="0" defaultSubtotal="0"/>
  </pivotFields>
  <rowFields count="7">
    <field x="1"/>
    <field x="0"/>
    <field x="4"/>
    <field x="10"/>
    <field x="9"/>
    <field x="8"/>
    <field x="5"/>
  </rowFields>
  <rowItems count="187">
    <i>
      <x/>
      <x v="102"/>
      <x v="17"/>
      <x v="18"/>
      <x/>
      <x v="2"/>
      <x v="104"/>
    </i>
    <i r="1">
      <x v="103"/>
      <x v="17"/>
      <x v="18"/>
      <x/>
      <x v="2"/>
      <x v="105"/>
    </i>
    <i r="1">
      <x v="104"/>
      <x v="17"/>
      <x v="14"/>
      <x/>
      <x v="2"/>
      <x v="103"/>
    </i>
    <i r="1">
      <x v="120"/>
      <x v="16"/>
      <x v="82"/>
      <x/>
      <x v="2"/>
      <x v="106"/>
    </i>
    <i r="1">
      <x v="134"/>
      <x v="16"/>
      <x v="80"/>
      <x/>
      <x v="2"/>
      <x v="102"/>
    </i>
    <i r="1">
      <x v="136"/>
      <x v="16"/>
      <x v="80"/>
      <x/>
      <x v="2"/>
      <x v="100"/>
    </i>
    <i r="1">
      <x v="195"/>
      <x v="16"/>
      <x v="81"/>
      <x/>
      <x v="2"/>
      <x v="101"/>
    </i>
    <i>
      <x v="1"/>
      <x v="19"/>
      <x v="4"/>
      <x v="71"/>
      <x/>
      <x v="1"/>
      <x v="34"/>
    </i>
    <i r="1">
      <x v="20"/>
      <x v="4"/>
      <x v="69"/>
      <x/>
      <x v="2"/>
      <x v="25"/>
    </i>
    <i r="1">
      <x v="21"/>
      <x v="4"/>
      <x v="61"/>
      <x/>
      <x v="2"/>
      <x v="37"/>
    </i>
    <i r="1">
      <x v="22"/>
      <x v="4"/>
      <x v="72"/>
      <x/>
      <x v="2"/>
      <x v="39"/>
    </i>
    <i r="1">
      <x v="23"/>
      <x v="4"/>
      <x v="67"/>
      <x/>
      <x v="2"/>
      <x v="38"/>
    </i>
    <i r="1">
      <x v="24"/>
      <x v="4"/>
      <x v="70"/>
      <x/>
      <x v="2"/>
      <x v="79"/>
    </i>
    <i r="1">
      <x v="25"/>
      <x v="4"/>
      <x v="65"/>
      <x/>
      <x v="2"/>
      <x v="40"/>
    </i>
    <i r="1">
      <x v="26"/>
      <x v="4"/>
      <x v="71"/>
      <x/>
      <x v="1"/>
      <x v="42"/>
    </i>
    <i r="1">
      <x v="27"/>
      <x v="4"/>
      <x v="69"/>
      <x/>
      <x v="2"/>
      <x v="41"/>
    </i>
    <i r="1">
      <x v="28"/>
      <x v="4"/>
      <x v="71"/>
      <x/>
      <x v="1"/>
      <x v="36"/>
    </i>
    <i r="1">
      <x v="29"/>
      <x v="4"/>
      <x v="69"/>
      <x/>
      <x v="2"/>
      <x v="35"/>
    </i>
    <i>
      <x v="2"/>
      <x/>
      <x/>
      <x v="93"/>
      <x v="1"/>
      <x v="2"/>
      <x v="119"/>
    </i>
    <i r="1">
      <x v="1"/>
      <x/>
      <x v="86"/>
      <x v="1"/>
      <x v="2"/>
      <x v="110"/>
    </i>
    <i r="1">
      <x v="2"/>
      <x/>
      <x v="86"/>
      <x v="1"/>
      <x v="2"/>
      <x v="112"/>
    </i>
    <i r="1">
      <x v="3"/>
      <x/>
      <x v="87"/>
      <x v="1"/>
      <x v="2"/>
      <x v="111"/>
    </i>
    <i r="1">
      <x v="4"/>
      <x/>
      <x v="90"/>
      <x v="1"/>
      <x v="2"/>
      <x v="115"/>
    </i>
    <i r="1">
      <x v="5"/>
      <x/>
      <x v="3"/>
      <x v="1"/>
      <x v="2"/>
      <x v="118"/>
    </i>
    <i r="1">
      <x v="6"/>
      <x/>
      <x v="89"/>
      <x v="1"/>
      <x v="2"/>
      <x v="114"/>
    </i>
    <i r="1">
      <x v="7"/>
      <x/>
      <x v="91"/>
      <x v="1"/>
      <x v="2"/>
      <x v="116"/>
    </i>
    <i r="1">
      <x v="8"/>
      <x v="15"/>
      <x v="129"/>
      <x v="1"/>
      <x v="2"/>
      <x v="95"/>
    </i>
    <i r="1">
      <x v="9"/>
      <x v="15"/>
      <x v="130"/>
      <x v="1"/>
      <x v="2"/>
      <x v="96"/>
    </i>
    <i r="1">
      <x v="10"/>
      <x/>
      <x v="128"/>
      <x v="1"/>
      <x v="3"/>
      <x v="187"/>
    </i>
    <i r="1">
      <x v="11"/>
      <x/>
      <x v="136"/>
      <x v="1"/>
      <x v="2"/>
      <x v="191"/>
    </i>
    <i r="1">
      <x v="12"/>
      <x/>
      <x v="135"/>
      <x v="1"/>
      <x v="2"/>
      <x v="190"/>
    </i>
    <i r="1">
      <x v="81"/>
      <x/>
      <x/>
      <x v="1"/>
      <x v="3"/>
      <x v="178"/>
    </i>
    <i r="6">
      <x v="186"/>
    </i>
    <i r="1">
      <x v="82"/>
      <x/>
      <x/>
      <x v="1"/>
      <x v="3"/>
      <x v="180"/>
    </i>
    <i r="1">
      <x v="85"/>
      <x/>
      <x/>
      <x v="1"/>
      <x v="3"/>
      <x v="173"/>
    </i>
    <i r="1">
      <x v="86"/>
      <x/>
      <x/>
      <x v="1"/>
      <x v="3"/>
      <x v="175"/>
    </i>
    <i r="1">
      <x v="87"/>
      <x/>
      <x/>
      <x v="1"/>
      <x v="3"/>
      <x v="174"/>
    </i>
    <i r="1">
      <x v="105"/>
      <x/>
      <x v="132"/>
      <x v="1"/>
      <x/>
      <x v="151"/>
    </i>
    <i r="1">
      <x v="106"/>
      <x/>
      <x v="132"/>
      <x v="1"/>
      <x/>
      <x v="150"/>
    </i>
    <i r="1">
      <x v="107"/>
      <x/>
      <x v="131"/>
      <x v="1"/>
      <x/>
      <x v="149"/>
    </i>
    <i r="1">
      <x v="109"/>
      <x/>
      <x/>
      <x v="1"/>
      <x v="3"/>
      <x v="172"/>
    </i>
    <i r="1">
      <x v="110"/>
      <x/>
      <x v="134"/>
      <x v="1"/>
      <x/>
      <x v="189"/>
    </i>
    <i r="1">
      <x v="111"/>
      <x/>
      <x/>
      <x v="1"/>
      <x v="3"/>
      <x v="184"/>
    </i>
    <i r="1">
      <x v="127"/>
      <x/>
      <x/>
      <x v="1"/>
      <x v="3"/>
      <x v="176"/>
    </i>
    <i r="1">
      <x v="178"/>
      <x/>
      <x v="88"/>
      <x v="1"/>
      <x v="2"/>
      <x v="113"/>
    </i>
    <i r="1">
      <x v="179"/>
      <x/>
      <x/>
      <x v="1"/>
      <x v="3"/>
      <x v="181"/>
    </i>
    <i r="1">
      <x v="180"/>
      <x/>
      <x/>
      <x v="1"/>
      <x v="3"/>
      <x v="168"/>
    </i>
    <i r="1">
      <x v="181"/>
      <x/>
      <x/>
      <x v="1"/>
      <x v="3"/>
      <x v="183"/>
    </i>
    <i r="1">
      <x v="182"/>
      <x/>
      <x/>
      <x v="1"/>
      <x v="3"/>
      <x v="170"/>
    </i>
    <i r="1">
      <x v="183"/>
      <x/>
      <x/>
      <x v="1"/>
      <x v="3"/>
      <x v="185"/>
    </i>
    <i r="1">
      <x v="184"/>
      <x/>
      <x/>
      <x v="1"/>
      <x v="3"/>
      <x v="167"/>
    </i>
    <i r="1">
      <x v="185"/>
      <x/>
      <x/>
      <x v="1"/>
      <x v="3"/>
      <x v="171"/>
    </i>
    <i r="1">
      <x v="186"/>
      <x/>
      <x/>
      <x v="1"/>
      <x v="3"/>
      <x v="179"/>
    </i>
    <i r="1">
      <x v="187"/>
      <x/>
      <x/>
      <x v="1"/>
      <x v="3"/>
      <x v="169"/>
    </i>
    <i r="1">
      <x v="188"/>
      <x/>
      <x/>
      <x v="1"/>
      <x v="3"/>
      <x v="177"/>
    </i>
    <i r="1">
      <x v="194"/>
      <x/>
      <x v="92"/>
      <x v="1"/>
      <x v="2"/>
      <x v="117"/>
    </i>
    <i r="1">
      <x v="196"/>
      <x/>
      <x/>
      <x v="1"/>
      <x v="3"/>
      <x v="182"/>
    </i>
    <i r="1">
      <x v="197"/>
      <x/>
      <x v="127"/>
      <x v="1"/>
      <x v="3"/>
      <x v="166"/>
    </i>
    <i>
      <x v="3"/>
      <x v="30"/>
      <x v="1"/>
      <x v="38"/>
      <x/>
      <x v="1"/>
      <x v="69"/>
    </i>
    <i r="1">
      <x v="31"/>
      <x v="1"/>
      <x v="58"/>
      <x/>
      <x v="1"/>
      <x v="70"/>
    </i>
    <i r="1">
      <x v="32"/>
      <x v="1"/>
      <x v="64"/>
      <x/>
      <x v="1"/>
      <x v="71"/>
    </i>
    <i>
      <x v="4"/>
      <x v="34"/>
      <x v="8"/>
      <x v="13"/>
      <x/>
      <x v="1"/>
      <x v="1"/>
    </i>
    <i r="1">
      <x v="35"/>
      <x v="12"/>
      <x v="32"/>
      <x/>
      <x v="1"/>
      <x/>
    </i>
    <i r="1">
      <x v="37"/>
      <x v="8"/>
      <x v="13"/>
      <x/>
      <x v="1"/>
      <x v="65"/>
    </i>
    <i r="1">
      <x v="38"/>
      <x v="12"/>
      <x v="31"/>
      <x/>
      <x v="1"/>
      <x v="63"/>
    </i>
    <i r="1">
      <x v="40"/>
      <x v="8"/>
      <x v="20"/>
      <x/>
      <x v="1"/>
      <x v="66"/>
    </i>
    <i r="1">
      <x v="41"/>
      <x v="12"/>
      <x v="36"/>
      <x/>
      <x v="1"/>
      <x v="64"/>
    </i>
    <i>
      <x v="6"/>
      <x v="112"/>
      <x v="12"/>
      <x v="63"/>
      <x/>
      <x v="1"/>
      <x v="4"/>
    </i>
    <i r="1">
      <x v="113"/>
      <x/>
      <x/>
      <x/>
      <x v="1"/>
      <x v="80"/>
    </i>
    <i r="1">
      <x v="124"/>
      <x v="2"/>
      <x v="28"/>
      <x/>
      <x v="2"/>
      <x v="78"/>
    </i>
    <i r="1">
      <x v="125"/>
      <x v="2"/>
      <x v="27"/>
      <x/>
      <x v="2"/>
      <x v="77"/>
    </i>
    <i r="1">
      <x v="135"/>
      <x v="1"/>
      <x v="52"/>
      <x/>
      <x v="1"/>
      <x v="3"/>
    </i>
    <i>
      <x v="7"/>
      <x v="75"/>
      <x v="10"/>
      <x v="54"/>
      <x/>
      <x v="2"/>
      <x v="58"/>
    </i>
    <i r="1">
      <x v="76"/>
      <x v="4"/>
      <x v="40"/>
      <x/>
      <x v="1"/>
      <x v="50"/>
    </i>
    <i r="1">
      <x v="77"/>
      <x v="7"/>
      <x v="56"/>
      <x/>
      <x v="2"/>
      <x v="57"/>
    </i>
    <i r="1">
      <x v="78"/>
      <x v="11"/>
      <x v="44"/>
      <x/>
      <x v="1"/>
      <x v="92"/>
    </i>
    <i r="1">
      <x v="79"/>
      <x v="14"/>
      <x v="4"/>
      <x/>
      <x v="1"/>
      <x v="83"/>
    </i>
    <i r="1">
      <x v="108"/>
      <x v="4"/>
      <x v="44"/>
      <x/>
      <x v="2"/>
      <x v="49"/>
    </i>
    <i r="1">
      <x v="121"/>
      <x v="4"/>
      <x v="43"/>
      <x/>
      <x v="2"/>
      <x v="51"/>
    </i>
    <i r="1">
      <x v="122"/>
      <x v="4"/>
      <x v="18"/>
      <x/>
      <x v="2"/>
      <x v="52"/>
    </i>
    <i>
      <x v="8"/>
      <x v="83"/>
      <x v="7"/>
      <x v="59"/>
      <x/>
      <x v="1"/>
      <x v="81"/>
    </i>
    <i>
      <x v="9"/>
      <x v="56"/>
      <x v="1"/>
      <x v="40"/>
      <x/>
      <x v="2"/>
      <x v="16"/>
    </i>
    <i r="1">
      <x v="57"/>
      <x v="1"/>
      <x v="17"/>
      <x/>
      <x v="1"/>
      <x v="12"/>
    </i>
    <i r="1">
      <x v="58"/>
      <x v="1"/>
      <x v="7"/>
      <x/>
      <x v="2"/>
      <x v="8"/>
    </i>
    <i r="1">
      <x v="59"/>
      <x v="1"/>
      <x v="3"/>
      <x/>
      <x v="2"/>
      <x v="6"/>
    </i>
    <i r="1">
      <x v="60"/>
      <x v="1"/>
      <x v="50"/>
      <x/>
      <x v="2"/>
      <x v="18"/>
    </i>
    <i r="1">
      <x v="61"/>
      <x v="1"/>
      <x v="46"/>
      <x/>
      <x v="2"/>
      <x v="17"/>
    </i>
    <i r="1">
      <x v="62"/>
      <x v="1"/>
      <x v="5"/>
      <x/>
      <x v="1"/>
      <x v="7"/>
    </i>
    <i r="1">
      <x v="63"/>
      <x v="1"/>
      <x v="33"/>
      <x/>
      <x v="2"/>
      <x v="14"/>
    </i>
    <i r="1">
      <x v="64"/>
      <x v="1"/>
      <x v="11"/>
      <x/>
      <x v="2"/>
      <x v="10"/>
    </i>
    <i r="1">
      <x v="65"/>
      <x v="1"/>
      <x v="8"/>
      <x/>
      <x v="2"/>
      <x v="9"/>
    </i>
    <i r="1">
      <x v="66"/>
      <x v="1"/>
      <x v="24"/>
      <x/>
      <x v="3"/>
      <x v="13"/>
    </i>
    <i r="1">
      <x v="67"/>
      <x v="1"/>
      <x v="13"/>
      <x/>
      <x v="1"/>
      <x v="11"/>
    </i>
    <i r="1">
      <x v="68"/>
      <x v="1"/>
      <x v="16"/>
      <x/>
      <x v="2"/>
      <x v="15"/>
    </i>
    <i r="1">
      <x v="69"/>
      <x v="1"/>
      <x/>
      <x/>
      <x v="2"/>
      <x v="73"/>
    </i>
    <i>
      <x v="11"/>
      <x v="93"/>
      <x v="2"/>
      <x v="35"/>
      <x/>
      <x v="2"/>
      <x v="67"/>
    </i>
    <i r="1">
      <x v="94"/>
      <x v="2"/>
      <x v="37"/>
      <x/>
      <x v="2"/>
      <x v="68"/>
    </i>
    <i>
      <x v="12"/>
      <x v="88"/>
      <x v="7"/>
      <x v="55"/>
      <x/>
      <x v="2"/>
      <x v="75"/>
    </i>
    <i r="1">
      <x v="89"/>
      <x v="7"/>
      <x v="68"/>
      <x/>
      <x v="2"/>
      <x v="76"/>
    </i>
    <i r="1">
      <x v="90"/>
      <x v="2"/>
      <x v="53"/>
      <x/>
      <x v="2"/>
      <x v="87"/>
    </i>
    <i r="1">
      <x v="91"/>
      <x v="2"/>
      <x v="47"/>
      <x/>
      <x v="1"/>
      <x v="86"/>
    </i>
    <i r="1">
      <x v="92"/>
      <x v="2"/>
      <x v="42"/>
      <x/>
      <x v="1"/>
      <x v="85"/>
    </i>
    <i r="1">
      <x v="99"/>
      <x v="9"/>
      <x v="52"/>
      <x/>
      <x v="1"/>
      <x v="60"/>
    </i>
    <i r="1">
      <x v="100"/>
      <x v="5"/>
      <x v="60"/>
      <x/>
      <x v="2"/>
      <x v="47"/>
    </i>
    <i r="1">
      <x v="101"/>
      <x v="4"/>
      <x v="57"/>
      <x/>
      <x v="2"/>
      <x v="59"/>
    </i>
    <i r="1">
      <x v="126"/>
      <x v="4"/>
      <x v="51"/>
      <x/>
      <x v="2"/>
      <x v="56"/>
    </i>
    <i r="1">
      <x v="200"/>
      <x v="2"/>
      <x v="27"/>
      <x/>
      <x v="2"/>
      <x v="48"/>
    </i>
    <i r="1">
      <x v="201"/>
      <x v="2"/>
      <x v="45"/>
      <x/>
      <x v="2"/>
      <x v="5"/>
    </i>
    <i>
      <x v="13"/>
      <x v="114"/>
      <x v="2"/>
      <x v="30"/>
      <x/>
      <x v="1"/>
      <x v="54"/>
    </i>
    <i r="1">
      <x v="115"/>
      <x v="2"/>
      <x v="23"/>
      <x/>
      <x v="1"/>
      <x v="61"/>
    </i>
    <i>
      <x v="14"/>
      <x v="157"/>
      <x/>
      <x v="98"/>
      <x/>
      <x v="2"/>
      <x v="132"/>
    </i>
    <i r="1">
      <x v="158"/>
      <x/>
      <x v="104"/>
      <x/>
      <x v="2"/>
      <x v="135"/>
    </i>
    <i r="1">
      <x v="159"/>
      <x/>
      <x v="100"/>
      <x/>
      <x v="1"/>
      <x v="129"/>
    </i>
    <i r="1">
      <x v="160"/>
      <x/>
      <x v="99"/>
      <x/>
      <x v="1"/>
      <x v="127"/>
    </i>
    <i r="1">
      <x v="161"/>
      <x/>
      <x v="105"/>
      <x/>
      <x v="2"/>
      <x v="138"/>
    </i>
    <i r="1">
      <x v="162"/>
      <x/>
      <x v="96"/>
      <x/>
      <x v="2"/>
      <x v="139"/>
    </i>
    <i r="1">
      <x v="163"/>
      <x v="2"/>
      <x v="98"/>
      <x/>
      <x v="2"/>
      <x v="126"/>
    </i>
    <i r="1">
      <x v="164"/>
      <x/>
      <x v="101"/>
      <x/>
      <x v="2"/>
      <x v="131"/>
    </i>
    <i r="1">
      <x v="165"/>
      <x/>
      <x v="102"/>
      <x/>
      <x v="2"/>
      <x v="133"/>
    </i>
    <i r="1">
      <x v="166"/>
      <x/>
      <x v="97"/>
      <x/>
      <x v="2"/>
      <x v="125"/>
    </i>
    <i r="1">
      <x v="167"/>
      <x/>
      <x v="98"/>
      <x/>
      <x v="2"/>
      <x v="130"/>
    </i>
    <i r="1">
      <x v="168"/>
      <x/>
      <x v="96"/>
      <x/>
      <x v="2"/>
      <x v="123"/>
    </i>
    <i r="1">
      <x v="169"/>
      <x/>
      <x v="103"/>
      <x/>
      <x v="2"/>
      <x v="134"/>
    </i>
    <i r="1">
      <x v="170"/>
      <x/>
      <x v="97"/>
      <x/>
      <x v="2"/>
      <x v="128"/>
    </i>
    <i r="1">
      <x v="171"/>
      <x v="1"/>
      <x v="115"/>
      <x/>
      <x v="2"/>
      <x v="91"/>
    </i>
    <i r="1">
      <x v="172"/>
      <x v="1"/>
      <x v="113"/>
      <x/>
      <x v="2"/>
      <x v="89"/>
    </i>
    <i r="1">
      <x v="173"/>
      <x v="1"/>
      <x v="114"/>
      <x/>
      <x v="2"/>
      <x v="90"/>
    </i>
    <i r="1">
      <x v="174"/>
      <x/>
      <x v="95"/>
      <x/>
      <x v="2"/>
      <x v="122"/>
    </i>
    <i r="1">
      <x v="175"/>
      <x/>
      <x v="103"/>
      <x/>
      <x v="2"/>
      <x v="137"/>
    </i>
    <i r="1">
      <x v="176"/>
      <x/>
      <x v="99"/>
      <x/>
      <x v="2"/>
      <x v="136"/>
    </i>
    <i r="1">
      <x v="177"/>
      <x/>
      <x v="97"/>
      <x/>
      <x v="2"/>
      <x v="124"/>
    </i>
    <i>
      <x v="15"/>
      <x v="189"/>
      <x v="1"/>
      <x v="25"/>
      <x/>
      <x v="2"/>
      <x v="121"/>
    </i>
    <i r="1">
      <x v="190"/>
      <x v="1"/>
      <x v="10"/>
      <x/>
      <x/>
      <x v="2"/>
    </i>
    <i r="1">
      <x v="191"/>
      <x v="1"/>
      <x v="12"/>
      <x/>
      <x v="2"/>
      <x v="93"/>
    </i>
    <i r="1">
      <x v="192"/>
      <x v="1"/>
      <x v="19"/>
      <x/>
      <x v="2"/>
      <x v="62"/>
    </i>
    <i r="1">
      <x v="193"/>
      <x v="1"/>
      <x v="19"/>
      <x/>
      <x v="2"/>
      <x v="46"/>
    </i>
    <i>
      <x v="16"/>
      <x v="42"/>
      <x v="1"/>
      <x/>
      <x/>
      <x v="2"/>
      <x v="72"/>
    </i>
    <i r="1">
      <x v="43"/>
      <x v="1"/>
      <x v="29"/>
      <x/>
      <x v="1"/>
      <x v="31"/>
    </i>
    <i r="1">
      <x v="44"/>
      <x v="1"/>
      <x v="1"/>
      <x/>
      <x v="2"/>
      <x v="20"/>
    </i>
    <i r="1">
      <x v="45"/>
      <x v="1"/>
      <x v="22"/>
      <x/>
      <x v="2"/>
      <x v="29"/>
    </i>
    <i r="1">
      <x v="46"/>
      <x v="1"/>
      <x v="1"/>
      <x/>
      <x v="2"/>
      <x v="19"/>
    </i>
    <i r="1">
      <x v="47"/>
      <x v="1"/>
      <x v="9"/>
      <x/>
      <x v="2"/>
      <x v="27"/>
    </i>
    <i r="1">
      <x v="48"/>
      <x v="1"/>
      <x v="12"/>
      <x/>
      <x v="2"/>
      <x v="24"/>
    </i>
    <i r="1">
      <x v="49"/>
      <x v="1"/>
      <x v="6"/>
      <x/>
      <x v="2"/>
      <x v="22"/>
    </i>
    <i r="1">
      <x v="50"/>
      <x v="1"/>
      <x v="2"/>
      <x/>
      <x v="2"/>
      <x v="21"/>
    </i>
    <i r="1">
      <x v="51"/>
      <x v="1"/>
      <x v="14"/>
      <x/>
      <x v="2"/>
      <x v="26"/>
    </i>
    <i r="1">
      <x v="52"/>
      <x v="1"/>
      <x v="9"/>
      <x/>
      <x v="2"/>
      <x v="23"/>
    </i>
    <i r="1">
      <x v="53"/>
      <x v="1"/>
      <x v="25"/>
      <x/>
      <x v="2"/>
      <x v="30"/>
    </i>
    <i r="1">
      <x v="54"/>
      <x v="1"/>
      <x v="15"/>
      <x/>
      <x v="2"/>
      <x v="28"/>
    </i>
    <i r="1">
      <x v="55"/>
      <x v="1"/>
      <x/>
      <x/>
      <x v="2"/>
      <x v="74"/>
    </i>
    <i>
      <x v="17"/>
      <x v="95"/>
      <x v="1"/>
      <x v="73"/>
      <x/>
      <x v="2"/>
      <x v="33"/>
    </i>
    <i r="1">
      <x v="96"/>
      <x v="1"/>
      <x v="75"/>
      <x/>
      <x v="2"/>
      <x v="94"/>
    </i>
    <i r="1">
      <x v="97"/>
      <x v="1"/>
      <x v="20"/>
      <x/>
      <x v="1"/>
      <x v="32"/>
    </i>
    <i>
      <x v="18"/>
      <x v="80"/>
      <x v="2"/>
      <x v="23"/>
      <x/>
      <x v="1"/>
      <x v="84"/>
    </i>
    <i r="1">
      <x v="198"/>
      <x v="2"/>
      <x v="94"/>
      <x/>
      <x v="2"/>
      <x v="120"/>
    </i>
    <i>
      <x v="19"/>
      <x v="199"/>
      <x v="2"/>
      <x v="62"/>
      <x/>
      <x v="1"/>
      <x v="88"/>
    </i>
    <i>
      <x v="20"/>
      <x v="123"/>
      <x v="1"/>
      <x v="3"/>
      <x/>
      <x v="2"/>
      <x v="188"/>
    </i>
    <i>
      <x v="21"/>
      <x v="138"/>
      <x v="19"/>
      <x v="62"/>
      <x/>
      <x v="2"/>
      <x v="144"/>
    </i>
    <i r="1">
      <x v="139"/>
      <x v="18"/>
      <x v="108"/>
      <x/>
      <x v="2"/>
      <x v="143"/>
    </i>
    <i r="1">
      <x v="140"/>
      <x v="2"/>
      <x v="41"/>
      <x/>
      <x v="2"/>
      <x v="44"/>
    </i>
    <i r="1">
      <x v="142"/>
      <x v="19"/>
      <x v="112"/>
      <x/>
      <x v="2"/>
      <x v="148"/>
    </i>
    <i r="1">
      <x v="143"/>
      <x v="18"/>
      <x v="111"/>
      <x/>
      <x v="2"/>
      <x v="147"/>
    </i>
    <i r="1">
      <x v="144"/>
      <x v="2"/>
      <x v="34"/>
      <x/>
      <x v="2"/>
      <x v="53"/>
    </i>
    <i r="1">
      <x v="146"/>
      <x v="19"/>
      <x/>
      <x/>
      <x/>
      <x v="164"/>
    </i>
    <i r="1">
      <x v="147"/>
      <x v="2"/>
      <x/>
      <x/>
      <x/>
      <x v="165"/>
    </i>
    <i r="1">
      <x v="149"/>
      <x v="19"/>
      <x v="107"/>
      <x/>
      <x v="2"/>
      <x v="142"/>
    </i>
    <i r="1">
      <x v="150"/>
      <x v="18"/>
      <x v="106"/>
      <x/>
      <x v="2"/>
      <x v="141"/>
    </i>
    <i r="1">
      <x v="151"/>
      <x v="2"/>
      <x v="49"/>
      <x/>
      <x v="2"/>
      <x v="43"/>
    </i>
    <i r="1">
      <x v="152"/>
      <x v="4"/>
      <x v="66"/>
      <x/>
      <x v="2"/>
      <x v="55"/>
    </i>
    <i r="1">
      <x v="153"/>
      <x v="19"/>
      <x v="110"/>
      <x/>
      <x v="1"/>
      <x v="146"/>
    </i>
    <i r="1">
      <x v="154"/>
      <x v="4"/>
      <x v="74"/>
      <x/>
      <x v="2"/>
      <x v="45"/>
    </i>
    <i r="1">
      <x v="156"/>
      <x v="2"/>
      <x v="78"/>
      <x/>
      <x v="1"/>
      <x v="97"/>
    </i>
    <i r="3">
      <x v="109"/>
      <x/>
      <x v="1"/>
      <x v="145"/>
    </i>
    <i>
      <x v="22"/>
      <x v="128"/>
      <x v="4"/>
      <x v="116"/>
      <x/>
      <x/>
      <x v="98"/>
    </i>
    <i r="1">
      <x v="130"/>
      <x v="4"/>
      <x v="79"/>
      <x/>
      <x v="2"/>
      <x v="99"/>
    </i>
    <i>
      <x v="23"/>
      <x v="13"/>
      <x v="22"/>
      <x v="126"/>
      <x/>
      <x/>
      <x v="163"/>
    </i>
    <i r="1">
      <x v="14"/>
      <x v="21"/>
      <x v="125"/>
      <x/>
      <x/>
      <x v="162"/>
    </i>
    <i r="1">
      <x v="15"/>
      <x v="20"/>
      <x v="118"/>
      <x/>
      <x/>
      <x v="153"/>
    </i>
    <i r="1">
      <x v="16"/>
      <x v="22"/>
      <x v="124"/>
      <x/>
      <x/>
      <x v="161"/>
    </i>
    <i r="1">
      <x v="17"/>
      <x v="21"/>
      <x v="123"/>
      <x/>
      <x/>
      <x v="160"/>
    </i>
    <i r="1">
      <x v="18"/>
      <x v="20"/>
      <x v="119"/>
      <x/>
      <x/>
      <x v="154"/>
    </i>
    <i r="1">
      <x v="129"/>
      <x v="20"/>
      <x v="18"/>
      <x/>
      <x/>
      <x v="152"/>
    </i>
    <i r="2">
      <x v="21"/>
      <x v="118"/>
      <x/>
      <x/>
      <x v="158"/>
    </i>
    <i r="2">
      <x v="23"/>
      <x v="133"/>
      <x/>
      <x/>
      <x v="159"/>
    </i>
    <i r="1">
      <x v="131"/>
      <x v="22"/>
      <x v="121"/>
      <x/>
      <x v="1"/>
      <x v="157"/>
    </i>
    <i r="1">
      <x v="132"/>
      <x v="21"/>
      <x v="120"/>
      <x/>
      <x v="1"/>
      <x v="156"/>
    </i>
    <i r="1">
      <x v="133"/>
      <x v="20"/>
      <x v="39"/>
      <x/>
      <x/>
      <x v="155"/>
    </i>
  </rowItems>
  <colItems count="1">
    <i/>
  </colItems>
  <formats count="44">
    <format dxfId="1031">
      <pivotArea type="all" dataOnly="0" outline="0" fieldPosition="0"/>
    </format>
    <format dxfId="1030">
      <pivotArea field="0" type="button" dataOnly="0" labelOnly="1" outline="0" axis="axisRow" fieldPosition="1"/>
    </format>
    <format dxfId="1029">
      <pivotArea field="4" type="button" dataOnly="0" labelOnly="1" outline="0" axis="axisRow" fieldPosition="2"/>
    </format>
    <format dxfId="1028">
      <pivotArea field="10" type="button" dataOnly="0" labelOnly="1" outline="0" axis="axisRow" fieldPosition="3"/>
    </format>
    <format dxfId="1027">
      <pivotArea dataOnly="0" labelOnly="1" outline="0" fieldPosition="0">
        <references count="1">
          <reference field="0" count="0"/>
        </references>
      </pivotArea>
    </format>
    <format dxfId="1026">
      <pivotArea field="4" type="button" dataOnly="0" labelOnly="1" outline="0" axis="axisRow" fieldPosition="2"/>
    </format>
    <format dxfId="1025">
      <pivotArea dataOnly="0" labelOnly="1" outline="0" fieldPosition="0">
        <references count="3">
          <reference field="0" count="1" selected="0">
            <x v="136"/>
          </reference>
          <reference field="1" count="1" selected="0">
            <x v="0"/>
          </reference>
          <reference field="4" count="1">
            <x v="16"/>
          </reference>
        </references>
      </pivotArea>
    </format>
    <format dxfId="1024">
      <pivotArea dataOnly="0" labelOnly="1" outline="0" fieldPosition="0">
        <references count="3">
          <reference field="0" count="1" selected="0">
            <x v="104"/>
          </reference>
          <reference field="1" count="1" selected="0">
            <x v="0"/>
          </reference>
          <reference field="4" count="1">
            <x v="17"/>
          </reference>
        </references>
      </pivotArea>
    </format>
    <format dxfId="1023">
      <pivotArea dataOnly="0" labelOnly="1" outline="0" fieldPosition="0">
        <references count="3">
          <reference field="0" count="1" selected="0">
            <x v="120"/>
          </reference>
          <reference field="1" count="1" selected="0">
            <x v="0"/>
          </reference>
          <reference field="4" count="1">
            <x v="16"/>
          </reference>
        </references>
      </pivotArea>
    </format>
    <format dxfId="1022">
      <pivotArea dataOnly="0" labelOnly="1" outline="0" fieldPosition="0">
        <references count="3">
          <reference field="0" count="1" selected="0">
            <x v="19"/>
          </reference>
          <reference field="1" count="1" selected="0">
            <x v="1"/>
          </reference>
          <reference field="4" count="1">
            <x v="4"/>
          </reference>
        </references>
      </pivotArea>
    </format>
    <format dxfId="1021">
      <pivotArea dataOnly="0" labelOnly="1" outline="0" fieldPosition="0">
        <references count="3">
          <reference field="0" count="1" selected="0">
            <x v="8"/>
          </reference>
          <reference field="1" count="1" selected="0">
            <x v="2"/>
          </reference>
          <reference field="4" count="1">
            <x v="15"/>
          </reference>
        </references>
      </pivotArea>
    </format>
    <format dxfId="1020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"/>
          </reference>
          <reference field="4" count="1">
            <x v="0"/>
          </reference>
        </references>
      </pivotArea>
    </format>
    <format dxfId="1019">
      <pivotArea dataOnly="0" labelOnly="1" outline="0" fieldPosition="0">
        <references count="3">
          <reference field="0" count="1" selected="0">
            <x v="30"/>
          </reference>
          <reference field="1" count="1" selected="0">
            <x v="3"/>
          </reference>
          <reference field="4" count="1">
            <x v="1"/>
          </reference>
        </references>
      </pivotArea>
    </format>
    <format dxfId="1018">
      <pivotArea dataOnly="0" labelOnly="1" outline="0" fieldPosition="0">
        <references count="3">
          <reference field="0" count="1" selected="0">
            <x v="38"/>
          </reference>
          <reference field="1" count="1" selected="0">
            <x v="4"/>
          </reference>
          <reference field="4" count="1">
            <x v="12"/>
          </reference>
        </references>
      </pivotArea>
    </format>
    <format dxfId="1017">
      <pivotArea dataOnly="0" labelOnly="1" outline="0" fieldPosition="0">
        <references count="3">
          <reference field="0" count="1" selected="0">
            <x v="37"/>
          </reference>
          <reference field="1" count="1" selected="0">
            <x v="4"/>
          </reference>
          <reference field="4" count="1">
            <x v="8"/>
          </reference>
        </references>
      </pivotArea>
    </format>
    <format dxfId="1016">
      <pivotArea dataOnly="0" labelOnly="1" outline="0" fieldPosition="0">
        <references count="3">
          <reference field="0" count="1" selected="0">
            <x v="35"/>
          </reference>
          <reference field="1" count="1" selected="0">
            <x v="4"/>
          </reference>
          <reference field="4" count="1">
            <x v="12"/>
          </reference>
        </references>
      </pivotArea>
    </format>
    <format dxfId="1015">
      <pivotArea dataOnly="0" labelOnly="1" outline="0" fieldPosition="0">
        <references count="3">
          <reference field="0" count="1" selected="0">
            <x v="34"/>
          </reference>
          <reference field="1" count="1" selected="0">
            <x v="4"/>
          </reference>
          <reference field="4" count="1">
            <x v="8"/>
          </reference>
        </references>
      </pivotArea>
    </format>
    <format dxfId="1014">
      <pivotArea dataOnly="0" labelOnly="1" outline="0" fieldPosition="0">
        <references count="3">
          <reference field="0" count="1" selected="0">
            <x v="70"/>
          </reference>
          <reference field="1" count="1" selected="0">
            <x v="5"/>
          </reference>
          <reference field="4" count="1">
            <x v="2"/>
          </reference>
        </references>
      </pivotArea>
    </format>
    <format dxfId="1013">
      <pivotArea dataOnly="0" labelOnly="1" outline="0" fieldPosition="0">
        <references count="3">
          <reference field="0" count="1" selected="0">
            <x v="71"/>
          </reference>
          <reference field="1" count="1" selected="0">
            <x v="5"/>
          </reference>
          <reference field="4" count="1">
            <x v="4"/>
          </reference>
        </references>
      </pivotArea>
    </format>
    <format dxfId="1012">
      <pivotArea dataOnly="0" labelOnly="1" outline="0" fieldPosition="0">
        <references count="3">
          <reference field="0" count="1" selected="0">
            <x v="72"/>
          </reference>
          <reference field="1" count="1" selected="0">
            <x v="5"/>
          </reference>
          <reference field="4" count="1">
            <x v="2"/>
          </reference>
        </references>
      </pivotArea>
    </format>
    <format dxfId="1011">
      <pivotArea dataOnly="0" labelOnly="1" outline="0" fieldPosition="0">
        <references count="3">
          <reference field="0" count="1" selected="0">
            <x v="73"/>
          </reference>
          <reference field="1" count="1" selected="0">
            <x v="5"/>
          </reference>
          <reference field="4" count="1">
            <x v="4"/>
          </reference>
        </references>
      </pivotArea>
    </format>
    <format dxfId="1010">
      <pivotArea dataOnly="0" labelOnly="1" outline="0" fieldPosition="0">
        <references count="3">
          <reference field="0" count="1" selected="0">
            <x v="74"/>
          </reference>
          <reference field="1" count="1" selected="0">
            <x v="5"/>
          </reference>
          <reference field="4" count="1">
            <x v="2"/>
          </reference>
        </references>
      </pivotArea>
    </format>
    <format dxfId="1009">
      <pivotArea dataOnly="0" labelOnly="1" outline="0" fieldPosition="0">
        <references count="3">
          <reference field="0" count="1" selected="0">
            <x v="112"/>
          </reference>
          <reference field="1" count="1" selected="0">
            <x v="6"/>
          </reference>
          <reference field="4" count="1">
            <x v="12"/>
          </reference>
        </references>
      </pivotArea>
    </format>
    <format dxfId="1008">
      <pivotArea dataOnly="0" labelOnly="1" outline="0" fieldPosition="0">
        <references count="3">
          <reference field="0" count="1" selected="0">
            <x v="113"/>
          </reference>
          <reference field="1" count="1" selected="0">
            <x v="6"/>
          </reference>
          <reference field="4" count="1">
            <x v="0"/>
          </reference>
        </references>
      </pivotArea>
    </format>
    <format dxfId="1007">
      <pivotArea dataOnly="0" labelOnly="1" outline="0" fieldPosition="0">
        <references count="3">
          <reference field="0" count="1" selected="0">
            <x v="124"/>
          </reference>
          <reference field="1" count="1" selected="0">
            <x v="6"/>
          </reference>
          <reference field="4" count="1">
            <x v="2"/>
          </reference>
        </references>
      </pivotArea>
    </format>
    <format dxfId="1006">
      <pivotArea dataOnly="0" labelOnly="1" outline="0" fieldPosition="0">
        <references count="3">
          <reference field="0" count="1" selected="0">
            <x v="135"/>
          </reference>
          <reference field="1" count="1" selected="0">
            <x v="6"/>
          </reference>
          <reference field="4" count="1">
            <x v="1"/>
          </reference>
        </references>
      </pivotArea>
    </format>
    <format dxfId="1005">
      <pivotArea dataOnly="0" labelOnly="1" outline="0" fieldPosition="0">
        <references count="3">
          <reference field="0" count="1" selected="0">
            <x v="75"/>
          </reference>
          <reference field="1" count="1" selected="0">
            <x v="7"/>
          </reference>
          <reference field="4" count="1">
            <x v="10"/>
          </reference>
        </references>
      </pivotArea>
    </format>
    <format dxfId="1004">
      <pivotArea dataOnly="0" labelOnly="1" outline="0" fieldPosition="0">
        <references count="3">
          <reference field="0" count="1" selected="0">
            <x v="76"/>
          </reference>
          <reference field="1" count="1" selected="0">
            <x v="7"/>
          </reference>
          <reference field="4" count="1">
            <x v="4"/>
          </reference>
        </references>
      </pivotArea>
    </format>
    <format dxfId="1003">
      <pivotArea dataOnly="0" labelOnly="1" outline="0" fieldPosition="0">
        <references count="3">
          <reference field="0" count="1" selected="0">
            <x v="77"/>
          </reference>
          <reference field="1" count="1" selected="0">
            <x v="7"/>
          </reference>
          <reference field="4" count="1">
            <x v="7"/>
          </reference>
        </references>
      </pivotArea>
    </format>
    <format dxfId="1002">
      <pivotArea dataOnly="0" labelOnly="1" outline="0" fieldPosition="0">
        <references count="3">
          <reference field="0" count="1" selected="0">
            <x v="78"/>
          </reference>
          <reference field="1" count="1" selected="0">
            <x v="7"/>
          </reference>
          <reference field="4" count="1">
            <x v="11"/>
          </reference>
        </references>
      </pivotArea>
    </format>
    <format dxfId="1001">
      <pivotArea dataOnly="0" labelOnly="1" outline="0" fieldPosition="0">
        <references count="3">
          <reference field="0" count="1" selected="0">
            <x v="79"/>
          </reference>
          <reference field="1" count="1" selected="0">
            <x v="7"/>
          </reference>
          <reference field="4" count="1">
            <x v="14"/>
          </reference>
        </references>
      </pivotArea>
    </format>
    <format dxfId="1000">
      <pivotArea dataOnly="0" labelOnly="1" outline="0" fieldPosition="0">
        <references count="3">
          <reference field="0" count="1" selected="0">
            <x v="108"/>
          </reference>
          <reference field="1" count="1" selected="0">
            <x v="7"/>
          </reference>
          <reference field="4" count="1">
            <x v="4"/>
          </reference>
        </references>
      </pivotArea>
    </format>
    <format dxfId="999">
      <pivotArea dataOnly="0" labelOnly="1" outline="0" fieldPosition="0">
        <references count="3">
          <reference field="0" count="1" selected="0">
            <x v="83"/>
          </reference>
          <reference field="1" count="1" selected="0">
            <x v="8"/>
          </reference>
          <reference field="4" count="1">
            <x v="7"/>
          </reference>
        </references>
      </pivotArea>
    </format>
    <format dxfId="998">
      <pivotArea dataOnly="0" labelOnly="1" outline="0" fieldPosition="0">
        <references count="3">
          <reference field="0" count="1" selected="0">
            <x v="56"/>
          </reference>
          <reference field="1" count="1" selected="0">
            <x v="9"/>
          </reference>
          <reference field="4" count="1">
            <x v="1"/>
          </reference>
        </references>
      </pivotArea>
    </format>
    <format dxfId="997">
      <pivotArea dataOnly="0" labelOnly="1" outline="0" fieldPosition="0">
        <references count="3">
          <reference field="0" count="1" selected="0">
            <x v="90"/>
          </reference>
          <reference field="1" count="1" selected="0">
            <x v="10"/>
          </reference>
          <reference field="4" count="1">
            <x v="2"/>
          </reference>
        </references>
      </pivotArea>
    </format>
    <format dxfId="996">
      <pivotArea dataOnly="0" labelOnly="1" outline="0" fieldPosition="0">
        <references count="3">
          <reference field="0" count="1" selected="0">
            <x v="88"/>
          </reference>
          <reference field="1" count="1" selected="0">
            <x v="12"/>
          </reference>
          <reference field="4" count="1">
            <x v="7"/>
          </reference>
        </references>
      </pivotArea>
    </format>
    <format dxfId="995">
      <pivotArea dataOnly="0" labelOnly="1" outline="0" fieldPosition="0">
        <references count="3">
          <reference field="0" count="1" selected="0">
            <x v="99"/>
          </reference>
          <reference field="1" count="1" selected="0">
            <x v="12"/>
          </reference>
          <reference field="4" count="1">
            <x v="9"/>
          </reference>
        </references>
      </pivotArea>
    </format>
    <format dxfId="994">
      <pivotArea dataOnly="0" labelOnly="1" outline="0" fieldPosition="0">
        <references count="3">
          <reference field="0" count="1" selected="0">
            <x v="100"/>
          </reference>
          <reference field="1" count="1" selected="0">
            <x v="12"/>
          </reference>
          <reference field="4" count="1">
            <x v="5"/>
          </reference>
        </references>
      </pivotArea>
    </format>
    <format dxfId="993">
      <pivotArea dataOnly="0" labelOnly="1" outline="0" fieldPosition="0">
        <references count="3">
          <reference field="0" count="1" selected="0">
            <x v="101"/>
          </reference>
          <reference field="1" count="1" selected="0">
            <x v="12"/>
          </reference>
          <reference field="4" count="1">
            <x v="4"/>
          </reference>
        </references>
      </pivotArea>
    </format>
    <format dxfId="992">
      <pivotArea dataOnly="0" labelOnly="1" outline="0" fieldPosition="0">
        <references count="3">
          <reference field="0" count="1" selected="0">
            <x v="200"/>
          </reference>
          <reference field="1" count="1" selected="0">
            <x v="12"/>
          </reference>
          <reference field="4" count="1">
            <x v="2"/>
          </reference>
        </references>
      </pivotArea>
    </format>
    <format dxfId="991">
      <pivotArea dataOnly="0" labelOnly="1" outline="0" fieldPosition="0">
        <references count="3">
          <reference field="0" count="1" selected="0">
            <x v="116"/>
          </reference>
          <reference field="1" count="1" selected="0">
            <x v="13"/>
          </reference>
          <reference field="4" count="1">
            <x v="4"/>
          </reference>
        </references>
      </pivotArea>
    </format>
    <format dxfId="990">
      <pivotArea dataOnly="0" labelOnly="1" outline="0" fieldPosition="0">
        <references count="3">
          <reference field="0" count="1" selected="0">
            <x v="171"/>
          </reference>
          <reference field="1" count="1" selected="0">
            <x v="14"/>
          </reference>
          <reference field="4" count="1">
            <x v="1"/>
          </reference>
        </references>
      </pivotArea>
    </format>
    <format dxfId="989">
      <pivotArea dataOnly="0" labelOnly="1" outline="0" fieldPosition="0">
        <references count="3">
          <reference field="0" count="1" selected="0">
            <x v="80"/>
          </reference>
          <reference field="1" count="1" selected="0">
            <x v="18"/>
          </reference>
          <reference field="4" count="1">
            <x v="2"/>
          </reference>
        </references>
      </pivotArea>
    </format>
    <format dxfId="988">
      <pivotArea dataOnly="0" labelOnly="1" outline="0" fieldPosition="0">
        <references count="3">
          <reference field="0" count="1" selected="0">
            <x v="128"/>
          </reference>
          <reference field="1" count="1" selected="0">
            <x v="20"/>
          </reference>
          <reference field="4" count="1">
            <x v="4"/>
          </reference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3166-6950-4504-9604-90AF3600C4FF}" name="PivotTable2" cacheId="2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 fieldListSortAscending="1">
  <location ref="A2:G3" firstHeaderRow="1" firstDataRow="1" firstDataCol="7"/>
  <pivotFields count="17">
    <pivotField compact="0" outline="0" showAll="0" defaultSubtotal="0"/>
    <pivotField axis="axisRow" compact="0" outline="0" showAll="0" defaultSubtotal="0">
      <items count="319">
        <item h="1" x="104"/>
        <item h="1" x="103"/>
        <item h="1" x="105"/>
        <item h="1" x="106"/>
        <item h="1" x="107"/>
        <item h="1" x="108"/>
        <item h="1" x="47"/>
        <item h="1" x="80"/>
        <item h="1" x="50"/>
        <item h="1" x="62"/>
        <item h="1" x="75"/>
        <item h="1" x="59"/>
        <item h="1" x="81"/>
        <item h="1" m="1" x="297"/>
        <item h="1" m="1" x="298"/>
        <item h="1" m="1" x="299"/>
        <item h="1" x="112"/>
        <item h="1" x="58"/>
        <item h="1" x="109"/>
        <item h="1" x="48"/>
        <item h="1" x="64"/>
        <item h="1" x="110"/>
        <item h="1" x="71"/>
        <item h="1" x="197"/>
        <item h="1" x="57"/>
        <item h="1" x="84"/>
        <item h="1" x="85"/>
        <item h="1" x="86"/>
        <item h="1" x="61"/>
        <item h="1" x="76"/>
        <item h="1" x="45"/>
        <item h="1" m="1" x="278"/>
        <item h="1" m="1" x="279"/>
        <item h="1" m="1" x="284"/>
        <item h="1" m="1" x="286"/>
        <item h="1" m="1" x="282"/>
        <item h="1" m="1" x="303"/>
        <item h="1" m="1" x="283"/>
        <item h="1" m="1" x="285"/>
        <item h="1" x="63"/>
        <item h="1" x="159"/>
        <item h="1" x="204"/>
        <item h="1" x="68"/>
        <item h="1" x="77"/>
        <item h="1" x="205"/>
        <item h="1" x="206"/>
        <item h="1" x="46"/>
        <item h="1" m="1" x="317"/>
        <item h="1" x="220"/>
        <item h="1" x="165"/>
        <item h="1" x="194"/>
        <item h="1" x="69"/>
        <item h="1" x="111"/>
        <item h="1" x="240"/>
        <item h="1" m="1" x="296"/>
        <item h="1" x="72"/>
        <item h="1" x="60"/>
        <item h="1" x="78"/>
        <item h="1" x="65"/>
        <item h="1" x="200"/>
        <item h="1" x="202"/>
        <item h="1" x="192"/>
        <item h="1" x="216"/>
        <item h="1" x="215"/>
        <item h="1" x="233"/>
        <item h="1" x="49"/>
        <item h="1" x="88"/>
        <item h="1" x="89"/>
        <item h="1" x="90"/>
        <item h="1" x="73"/>
        <item h="1" x="66"/>
        <item h="1" x="193"/>
        <item h="1" x="198"/>
        <item h="1" x="211"/>
        <item h="1" x="214"/>
        <item h="1" x="213"/>
        <item h="1" x="212"/>
        <item h="1" x="210"/>
        <item h="1" x="70"/>
        <item h="1" x="199"/>
        <item h="1" x="74"/>
        <item h="1" x="79"/>
        <item h="1" x="67"/>
        <item h="1" x="115"/>
        <item h="1" x="203"/>
        <item h="1" x="209"/>
        <item h="1" x="195"/>
        <item h="1" x="119"/>
        <item h="1" x="132"/>
        <item h="1" x="131"/>
        <item h="1" m="1" x="312"/>
        <item h="1" x="130"/>
        <item h="1" x="152"/>
        <item h="1" x="189"/>
        <item h="1" x="10"/>
        <item h="1" x="140"/>
        <item h="1" x="141"/>
        <item h="1" x="160"/>
        <item h="1" x="191"/>
        <item h="1" x="237"/>
        <item h="1" x="253"/>
        <item h="1" x="134"/>
        <item h="1" x="133"/>
        <item h="1" x="187"/>
        <item h="1" m="1" x="292"/>
        <item h="1" x="100"/>
        <item h="1" x="91"/>
        <item h="1" x="92"/>
        <item h="1" x="96"/>
        <item h="1" x="93"/>
        <item h="1" x="94"/>
        <item h="1" x="101"/>
        <item h="1" x="98"/>
        <item h="1" x="99"/>
        <item h="1" x="95"/>
        <item h="1" x="102"/>
        <item h="1" x="97"/>
        <item h="1" x="41"/>
        <item h="1" x="227"/>
        <item h="1" x="164"/>
        <item h="1" x="37"/>
        <item h="1" x="162"/>
        <item h="1" x="157"/>
        <item h="1" x="38"/>
        <item h="1" m="1" x="318"/>
        <item h="1" m="1" x="290"/>
        <item h="1" m="1" x="273"/>
        <item h="1" m="1" x="308"/>
        <item h="1" x="148"/>
        <item h="1" x="56"/>
        <item h="1" x="9"/>
        <item h="1" x="175"/>
        <item h="1" x="173"/>
        <item h="1" x="143"/>
        <item h="1" m="1" x="287"/>
        <item h="1" m="1" x="288"/>
        <item h="1" x="27"/>
        <item h="1" x="30"/>
        <item h="1" x="23"/>
        <item h="1" x="24"/>
        <item h="1" x="25"/>
        <item h="1" x="26"/>
        <item h="1" x="28"/>
        <item h="1" x="29"/>
        <item h="1" x="33"/>
        <item h="1" x="34"/>
        <item h="1" x="259"/>
        <item h="1" x="254"/>
        <item h="1" x="258"/>
        <item h="1" x="44"/>
        <item h="1" x="31"/>
        <item h="1" x="32"/>
        <item h="1" x="223"/>
        <item h="1" x="222"/>
        <item h="1" x="221"/>
        <item h="1" x="190"/>
        <item h="1" m="1" x="310"/>
        <item h="1" x="186"/>
        <item h="1" x="147"/>
        <item h="1" x="117"/>
        <item h="1" m="1" x="302"/>
        <item h="1" x="228"/>
        <item h="1" x="51"/>
        <item h="1" x="55"/>
        <item h="1" x="185"/>
        <item h="1" x="172"/>
        <item h="1" x="171"/>
        <item h="1" x="170"/>
        <item h="1" x="241"/>
        <item h="1" x="168"/>
        <item h="1" x="169"/>
        <item h="1" x="242"/>
        <item h="1" x="243"/>
        <item h="1" x="248"/>
        <item h="1" m="1" x="305"/>
        <item h="1" x="256"/>
        <item h="1" x="35"/>
        <item h="1" x="36"/>
        <item h="1" x="39"/>
        <item h="1" x="234"/>
        <item h="1" x="16"/>
        <item h="1" x="15"/>
        <item h="1" x="17"/>
        <item h="1" x="217"/>
        <item h="1" x="208"/>
        <item h="1" x="201"/>
        <item h="1" x="114"/>
        <item h="1" x="11"/>
        <item h="1" x="196"/>
        <item h="1" x="219"/>
        <item h="1" x="52"/>
        <item h="1" x="247"/>
        <item h="1" x="138"/>
        <item h="1" m="1" x="311"/>
        <item h="1" x="181"/>
        <item h="1" x="163"/>
        <item h="1" x="158"/>
        <item h="1" x="183"/>
        <item h="1" x="232"/>
        <item h="1" x="235"/>
        <item h="1" x="150"/>
        <item h="1" x="249"/>
        <item h="1" x="174"/>
        <item h="1" x="188"/>
        <item h="1" x="178"/>
        <item h="1" x="255"/>
        <item h="1" x="224"/>
        <item h="1" x="226"/>
        <item h="1" x="125"/>
        <item h="1" x="5"/>
        <item h="1" m="1" x="313"/>
        <item h="1" x="149"/>
        <item h="1" x="20"/>
        <item h="1" x="4"/>
        <item h="1" x="155"/>
        <item h="1" x="176"/>
        <item h="1" x="54"/>
        <item h="1" x="230"/>
        <item h="1" x="127"/>
        <item h="1" x="53"/>
        <item h="1" m="1" x="289"/>
        <item h="1" x="40"/>
        <item h="1" x="146"/>
        <item h="1" m="1" x="291"/>
        <item h="1" x="161"/>
        <item h="1" m="1" x="294"/>
        <item h="1" m="1" x="314"/>
        <item h="1" x="116"/>
        <item h="1" m="1" x="300"/>
        <item h="1" m="1" x="301"/>
        <item h="1" x="229"/>
        <item h="1" x="7"/>
        <item h="1" x="137"/>
        <item h="1" m="1" x="280"/>
        <item h="1" m="1" x="293"/>
        <item h="1" x="113"/>
        <item h="1" x="236"/>
        <item h="1" x="145"/>
        <item h="1" x="139"/>
        <item h="1" x="207"/>
        <item h="1" m="1" x="316"/>
        <item h="1" x="166"/>
        <item h="1" m="1" x="309"/>
        <item h="1" m="1" x="276"/>
        <item h="1" m="1" x="277"/>
        <item h="1" x="238"/>
        <item h="1" x="182"/>
        <item h="1" x="156"/>
        <item h="1" x="151"/>
        <item h="1" m="1" x="315"/>
        <item h="1" x="154"/>
        <item h="1" m="1" x="306"/>
        <item h="1" m="1" x="307"/>
        <item h="1" x="167"/>
        <item h="1" x="136"/>
        <item h="1" x="42"/>
        <item h="1" x="8"/>
        <item h="1" x="177"/>
        <item h="1" x="153"/>
        <item h="1" x="142"/>
        <item h="1" x="252"/>
        <item h="1" m="1" x="295"/>
        <item h="1" m="1" x="304"/>
        <item h="1" x="260"/>
        <item h="1" x="225"/>
        <item h="1" x="21"/>
        <item h="1" x="6"/>
        <item h="1" x="43"/>
        <item h="1" x="22"/>
        <item h="1" x="231"/>
        <item h="1" x="246"/>
        <item h="1" x="144"/>
        <item h="1" x="179"/>
        <item h="1" x="180"/>
        <item h="1" m="1" x="281"/>
        <item h="1" x="245"/>
        <item h="1" x="218"/>
        <item h="1" x="250"/>
        <item h="1" x="0"/>
        <item h="1" x="1"/>
        <item h="1" x="2"/>
        <item h="1" x="3"/>
        <item h="1" x="12"/>
        <item h="1" x="13"/>
        <item h="1" x="14"/>
        <item h="1" x="18"/>
        <item h="1" x="19"/>
        <item h="1" x="82"/>
        <item h="1" x="83"/>
        <item h="1" x="87"/>
        <item h="1" x="118"/>
        <item h="1" x="120"/>
        <item h="1" x="121"/>
        <item h="1" x="122"/>
        <item h="1" x="123"/>
        <item h="1" x="124"/>
        <item h="1" x="126"/>
        <item h="1" x="135"/>
        <item h="1" x="184"/>
        <item h="1" m="1" x="274"/>
        <item h="1" x="244"/>
        <item h="1" x="251"/>
        <item h="1" x="257"/>
        <item h="1" x="261"/>
        <item h="1" x="262"/>
        <item h="1" x="263"/>
        <item h="1" x="264"/>
        <item x="265"/>
        <item h="1" m="1" x="275"/>
        <item h="1" x="267"/>
        <item h="1" x="268"/>
        <item h="1" x="128"/>
        <item h="1" x="129"/>
        <item h="1" x="239"/>
        <item h="1" x="266"/>
        <item h="1" x="269"/>
        <item h="1" x="270"/>
        <item h="1" x="271"/>
        <item h="1" x="27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4">
        <item x="10"/>
        <item x="16"/>
        <item x="4"/>
        <item x="8"/>
        <item x="11"/>
        <item x="2"/>
        <item x="0"/>
        <item x="5"/>
        <item x="19"/>
        <item m="1" x="22"/>
        <item x="15"/>
        <item x="14"/>
        <item x="17"/>
        <item x="9"/>
        <item x="12"/>
        <item x="1"/>
        <item x="6"/>
        <item x="3"/>
        <item x="18"/>
        <item m="1" x="23"/>
        <item x="13"/>
        <item x="7"/>
        <item x="20"/>
        <item x="21"/>
      </items>
    </pivotField>
    <pivotField axis="axisRow" compact="0" outline="0" showAll="0" defaultSubtotal="0">
      <items count="178">
        <item x="2"/>
        <item x="62"/>
        <item m="1" x="169"/>
        <item x="28"/>
        <item m="1" x="166"/>
        <item m="1" x="165"/>
        <item x="139"/>
        <item x="53"/>
        <item x="115"/>
        <item x="58"/>
        <item x="43"/>
        <item x="84"/>
        <item x="77"/>
        <item x="123"/>
        <item m="1" x="173"/>
        <item x="85"/>
        <item m="1" x="163"/>
        <item x="11"/>
        <item x="57"/>
        <item x="149"/>
        <item x="46"/>
        <item x="144"/>
        <item x="27"/>
        <item x="60"/>
        <item x="128"/>
        <item x="50"/>
        <item x="132"/>
        <item x="117"/>
        <item x="142"/>
        <item x="48"/>
        <item x="127"/>
        <item x="47"/>
        <item x="114"/>
        <item x="146"/>
        <item x="64"/>
        <item x="66"/>
        <item m="1" x="161"/>
        <item x="145"/>
        <item x="44"/>
        <item x="59"/>
        <item x="80"/>
        <item x="51"/>
        <item x="135"/>
        <item m="1" x="162"/>
        <item m="1" x="164"/>
        <item x="54"/>
        <item m="1" x="172"/>
        <item x="82"/>
        <item x="126"/>
        <item x="3"/>
        <item x="150"/>
        <item x="151"/>
        <item m="1" x="177"/>
        <item x="19"/>
        <item x="39"/>
        <item x="78"/>
        <item x="69"/>
        <item x="37"/>
        <item x="61"/>
        <item x="24"/>
        <item x="124"/>
        <item x="148"/>
        <item x="120"/>
        <item x="63"/>
        <item m="1" x="170"/>
        <item x="7"/>
        <item x="23"/>
        <item x="38"/>
        <item x="5"/>
        <item m="1" x="167"/>
        <item x="22"/>
        <item x="121"/>
        <item x="41"/>
        <item m="1" x="171"/>
        <item x="113"/>
        <item x="40"/>
        <item x="116"/>
        <item m="1" x="174"/>
        <item x="119"/>
        <item x="118"/>
        <item x="30"/>
        <item x="136"/>
        <item x="72"/>
        <item x="129"/>
        <item x="125"/>
        <item x="26"/>
        <item x="36"/>
        <item m="1" x="160"/>
        <item x="45"/>
        <item x="6"/>
        <item x="74"/>
        <item x="68"/>
        <item x="10"/>
        <item x="0"/>
        <item x="1"/>
        <item x="138"/>
        <item x="137"/>
        <item x="52"/>
        <item x="56"/>
        <item x="67"/>
        <item x="55"/>
        <item x="140"/>
        <item x="133"/>
        <item x="134"/>
        <item x="14"/>
        <item x="16"/>
        <item x="8"/>
        <item m="1" x="159"/>
        <item x="81"/>
        <item m="1" x="168"/>
        <item x="49"/>
        <item x="18"/>
        <item x="104"/>
        <item x="93"/>
        <item x="97"/>
        <item x="92"/>
        <item x="101"/>
        <item x="103"/>
        <item x="102"/>
        <item x="91"/>
        <item x="96"/>
        <item x="98"/>
        <item x="88"/>
        <item x="112"/>
        <item x="111"/>
        <item x="89"/>
        <item x="94"/>
        <item x="107"/>
        <item x="110"/>
        <item x="109"/>
        <item x="108"/>
        <item x="106"/>
        <item x="99"/>
        <item x="105"/>
        <item x="87"/>
        <item x="90"/>
        <item x="95"/>
        <item x="100"/>
        <item x="42"/>
        <item x="17"/>
        <item x="15"/>
        <item x="20"/>
        <item x="131"/>
        <item x="147"/>
        <item x="122"/>
        <item m="1" x="175"/>
        <item x="21"/>
        <item x="25"/>
        <item x="76"/>
        <item x="9"/>
        <item x="75"/>
        <item x="83"/>
        <item x="130"/>
        <item x="4"/>
        <item x="13"/>
        <item x="73"/>
        <item x="71"/>
        <item x="70"/>
        <item x="12"/>
        <item m="1" x="176"/>
        <item x="31"/>
        <item x="32"/>
        <item x="33"/>
        <item x="34"/>
        <item x="35"/>
        <item x="65"/>
        <item x="79"/>
        <item x="86"/>
        <item x="141"/>
        <item x="143"/>
        <item x="152"/>
        <item x="153"/>
        <item x="154"/>
        <item x="155"/>
        <item x="156"/>
        <item x="157"/>
        <item x="29"/>
        <item x="158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83">
        <item x="26"/>
        <item x="30"/>
        <item x="85"/>
        <item x="77"/>
        <item x="38"/>
        <item m="1" x="170"/>
        <item x="82"/>
        <item x="83"/>
        <item x="18"/>
        <item m="1" x="181"/>
        <item x="34"/>
        <item x="33"/>
        <item x="13"/>
        <item x="20"/>
        <item x="81"/>
        <item x="128"/>
        <item x="142"/>
        <item x="14"/>
        <item x="132"/>
        <item x="12"/>
        <item m="1" x="178"/>
        <item m="1" x="175"/>
        <item x="35"/>
        <item x="9"/>
        <item x="21"/>
        <item x="2"/>
        <item x="148"/>
        <item x="141"/>
        <item x="95"/>
        <item m="1" x="172"/>
        <item x="94"/>
        <item m="1" x="171"/>
        <item x="84"/>
        <item x="79"/>
        <item x="3"/>
        <item x="11"/>
        <item x="65"/>
        <item x="37"/>
        <item x="53"/>
        <item m="1" x="174"/>
        <item x="146"/>
        <item x="22"/>
        <item x="90"/>
        <item x="19"/>
        <item x="47"/>
        <item x="23"/>
        <item x="89"/>
        <item x="147"/>
        <item x="52"/>
        <item x="31"/>
        <item x="88"/>
        <item x="43"/>
        <item x="119"/>
        <item x="36"/>
        <item x="86"/>
        <item m="1" x="167"/>
        <item x="145"/>
        <item x="69"/>
        <item x="28"/>
        <item x="51"/>
        <item x="71"/>
        <item x="149"/>
        <item x="118"/>
        <item x="48"/>
        <item m="1" x="169"/>
        <item x="24"/>
        <item x="39"/>
        <item x="32"/>
        <item x="25"/>
        <item x="97"/>
        <item x="54"/>
        <item x="136"/>
        <item x="15"/>
        <item x="116"/>
        <item x="5"/>
        <item x="4"/>
        <item x="16"/>
        <item x="75"/>
        <item x="115"/>
        <item x="130"/>
        <item x="49"/>
        <item x="133"/>
        <item x="144"/>
        <item x="155"/>
        <item x="106"/>
        <item x="27"/>
        <item x="70"/>
        <item x="17"/>
        <item x="110"/>
        <item x="114"/>
        <item x="120"/>
        <item x="117"/>
        <item x="99"/>
        <item x="58"/>
        <item x="100"/>
        <item x="135"/>
        <item x="63"/>
        <item x="140"/>
        <item x="108"/>
        <item x="139"/>
        <item m="1" x="177"/>
        <item x="129"/>
        <item x="107"/>
        <item x="55"/>
        <item x="101"/>
        <item m="1" x="173"/>
        <item x="104"/>
        <item x="6"/>
        <item x="154"/>
        <item x="126"/>
        <item x="103"/>
        <item x="8"/>
        <item m="1" x="176"/>
        <item x="10"/>
        <item x="93"/>
        <item x="50"/>
        <item x="105"/>
        <item m="1" x="180"/>
        <item x="102"/>
        <item x="113"/>
        <item x="137"/>
        <item x="59"/>
        <item x="29"/>
        <item x="134"/>
        <item x="125"/>
        <item x="109"/>
        <item x="112"/>
        <item x="152"/>
        <item x="0"/>
        <item x="150"/>
        <item x="78"/>
        <item x="121"/>
        <item x="60"/>
        <item x="64"/>
        <item x="127"/>
        <item x="87"/>
        <item x="74"/>
        <item x="111"/>
        <item x="72"/>
        <item x="1"/>
        <item x="7"/>
        <item x="156"/>
        <item x="122"/>
        <item x="96"/>
        <item x="46"/>
        <item x="68"/>
        <item x="73"/>
        <item x="76"/>
        <item x="66"/>
        <item m="1" x="182"/>
        <item x="131"/>
        <item x="138"/>
        <item m="1" x="168"/>
        <item x="157"/>
        <item x="61"/>
        <item x="153"/>
        <item x="62"/>
        <item x="57"/>
        <item x="56"/>
        <item x="123"/>
        <item x="67"/>
        <item m="1" x="179"/>
        <item x="91"/>
        <item x="80"/>
        <item x="124"/>
        <item x="40"/>
        <item x="41"/>
        <item x="42"/>
        <item x="44"/>
        <item x="45"/>
        <item x="92"/>
        <item x="98"/>
        <item x="143"/>
        <item x="151"/>
        <item x="158"/>
        <item x="159"/>
        <item x="160"/>
        <item x="161"/>
        <item x="162"/>
        <item x="163"/>
        <item x="164"/>
        <item x="165"/>
        <item x="166"/>
      </items>
    </pivotField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303">
        <item x="131"/>
        <item x="3"/>
        <item m="1" x="294"/>
        <item x="178"/>
        <item x="41"/>
        <item m="1" x="280"/>
        <item m="1" x="275"/>
        <item m="1" x="295"/>
        <item x="179"/>
        <item x="180"/>
        <item x="181"/>
        <item x="4"/>
        <item x="182"/>
        <item x="42"/>
        <item x="43"/>
        <item x="44"/>
        <item x="183"/>
        <item x="184"/>
        <item x="185"/>
        <item x="186"/>
        <item x="187"/>
        <item x="45"/>
        <item x="5"/>
        <item x="46"/>
        <item x="47"/>
        <item x="48"/>
        <item x="49"/>
        <item x="50"/>
        <item x="188"/>
        <item x="189"/>
        <item x="51"/>
        <item x="190"/>
        <item x="6"/>
        <item x="191"/>
        <item x="192"/>
        <item x="193"/>
        <item x="194"/>
        <item x="195"/>
        <item x="196"/>
        <item x="197"/>
        <item x="198"/>
        <item x="199"/>
        <item x="200"/>
        <item x="137"/>
        <item x="201"/>
        <item x="202"/>
        <item x="203"/>
        <item x="204"/>
        <item x="205"/>
        <item x="206"/>
        <item x="207"/>
        <item x="208"/>
        <item x="209"/>
        <item x="210"/>
        <item x="7"/>
        <item x="211"/>
        <item x="212"/>
        <item x="213"/>
        <item x="214"/>
        <item x="215"/>
        <item x="216"/>
        <item x="217"/>
        <item x="52"/>
        <item x="218"/>
        <item m="1" x="296"/>
        <item m="1" x="297"/>
        <item m="1" x="298"/>
        <item m="1" x="299"/>
        <item x="219"/>
        <item x="220"/>
        <item m="1" x="300"/>
        <item x="221"/>
        <item x="222"/>
        <item x="138"/>
        <item x="223"/>
        <item x="224"/>
        <item x="225"/>
        <item x="226"/>
        <item x="227"/>
        <item x="228"/>
        <item x="229"/>
        <item x="230"/>
        <item x="231"/>
        <item x="8"/>
        <item m="1" x="301"/>
        <item x="53"/>
        <item x="54"/>
        <item x="232"/>
        <item x="233"/>
        <item x="234"/>
        <item x="235"/>
        <item x="236"/>
        <item x="237"/>
        <item x="238"/>
        <item x="139"/>
        <item x="239"/>
        <item m="1" x="281"/>
        <item x="240"/>
        <item x="241"/>
        <item x="55"/>
        <item x="56"/>
        <item x="242"/>
        <item x="243"/>
        <item x="244"/>
        <item m="1" x="282"/>
        <item x="132"/>
        <item m="1" x="276"/>
        <item m="1" x="283"/>
        <item m="1" x="284"/>
        <item m="1" x="285"/>
        <item x="245"/>
        <item m="1" x="286"/>
        <item m="1" x="287"/>
        <item m="1" x="288"/>
        <item x="9"/>
        <item x="140"/>
        <item x="57"/>
        <item x="58"/>
        <item x="59"/>
        <item x="60"/>
        <item x="61"/>
        <item x="62"/>
        <item x="141"/>
        <item x="63"/>
        <item x="64"/>
        <item x="65"/>
        <item x="66"/>
        <item x="67"/>
        <item x="68"/>
        <item x="69"/>
        <item x="70"/>
        <item x="71"/>
        <item x="72"/>
        <item x="142"/>
        <item x="73"/>
        <item x="74"/>
        <item x="75"/>
        <item x="76"/>
        <item x="77"/>
        <item x="78"/>
        <item x="79"/>
        <item x="80"/>
        <item x="81"/>
        <item x="82"/>
        <item x="143"/>
        <item x="83"/>
        <item x="84"/>
        <item x="85"/>
        <item x="86"/>
        <item x="87"/>
        <item x="88"/>
        <item x="89"/>
        <item x="90"/>
        <item x="91"/>
        <item x="92"/>
        <item x="144"/>
        <item x="93"/>
        <item x="94"/>
        <item x="95"/>
        <item x="96"/>
        <item x="97"/>
        <item x="98"/>
        <item x="99"/>
        <item x="100"/>
        <item x="101"/>
        <item x="102"/>
        <item x="145"/>
        <item x="103"/>
        <item x="104"/>
        <item x="105"/>
        <item x="106"/>
        <item x="107"/>
        <item x="108"/>
        <item x="109"/>
        <item x="110"/>
        <item x="111"/>
        <item x="112"/>
        <item x="146"/>
        <item x="246"/>
        <item x="247"/>
        <item x="248"/>
        <item x="249"/>
        <item x="250"/>
        <item x="113"/>
        <item x="114"/>
        <item x="251"/>
        <item x="252"/>
        <item x="253"/>
        <item x="147"/>
        <item x="115"/>
        <item m="1" x="289"/>
        <item m="1" x="290"/>
        <item m="1" x="291"/>
        <item x="116"/>
        <item x="117"/>
        <item x="254"/>
        <item x="118"/>
        <item x="255"/>
        <item x="133"/>
        <item x="148"/>
        <item x="119"/>
        <item x="256"/>
        <item m="1" x="302"/>
        <item x="257"/>
        <item x="258"/>
        <item x="259"/>
        <item x="260"/>
        <item x="261"/>
        <item x="10"/>
        <item x="149"/>
        <item m="1" x="292"/>
        <item x="150"/>
        <item x="151"/>
        <item x="152"/>
        <item x="153"/>
        <item m="1" x="277"/>
        <item x="154"/>
        <item x="134"/>
        <item x="11"/>
        <item x="12"/>
        <item x="13"/>
        <item x="14"/>
        <item x="155"/>
        <item x="156"/>
        <item x="157"/>
        <item x="158"/>
        <item x="135"/>
        <item x="159"/>
        <item x="160"/>
        <item x="161"/>
        <item x="162"/>
        <item x="163"/>
        <item x="164"/>
        <item x="15"/>
        <item x="16"/>
        <item x="17"/>
        <item x="18"/>
        <item x="0"/>
        <item x="19"/>
        <item x="165"/>
        <item x="166"/>
        <item x="20"/>
        <item x="167"/>
        <item x="168"/>
        <item x="169"/>
        <item x="170"/>
        <item x="1"/>
        <item x="171"/>
        <item x="172"/>
        <item x="173"/>
        <item x="21"/>
        <item x="174"/>
        <item x="22"/>
        <item x="175"/>
        <item x="176"/>
        <item x="23"/>
        <item x="24"/>
        <item x="136"/>
        <item x="25"/>
        <item x="26"/>
        <item x="27"/>
        <item x="28"/>
        <item x="29"/>
        <item x="30"/>
        <item x="31"/>
        <item x="32"/>
        <item x="33"/>
        <item x="34"/>
        <item x="2"/>
        <item x="35"/>
        <item x="36"/>
        <item m="1" x="278"/>
        <item m="1" x="279"/>
        <item x="37"/>
        <item x="38"/>
        <item x="39"/>
        <item x="40"/>
        <item x="177"/>
        <item m="1" x="293"/>
        <item x="120"/>
        <item x="121"/>
        <item x="122"/>
        <item x="123"/>
        <item x="124"/>
        <item x="125"/>
        <item x="126"/>
        <item x="127"/>
        <item x="128"/>
        <item x="262"/>
        <item x="263"/>
        <item x="264"/>
        <item x="265"/>
        <item x="266"/>
        <item x="267"/>
        <item x="268"/>
        <item x="269"/>
        <item x="270"/>
        <item x="129"/>
        <item x="130"/>
        <item x="271"/>
        <item x="272"/>
        <item x="273"/>
        <item x="274"/>
      </items>
    </pivotField>
    <pivotField axis="axisRow" compact="0" outline="0" showAll="0" defaultSubtotal="0">
      <items count="4">
        <item x="3"/>
        <item x="0"/>
        <item x="1"/>
        <item x="2"/>
      </items>
    </pivotField>
    <pivotField compact="0" outline="0" showAll="0" defaultSubtotal="0"/>
    <pivotField compact="0" outline="0" showAll="0" defaultSubtotal="0"/>
  </pivotFields>
  <rowFields count="7">
    <field x="7"/>
    <field x="1"/>
    <field x="8"/>
    <field x="11"/>
    <field x="12"/>
    <field x="14"/>
    <field x="13"/>
  </rowFields>
  <rowItems count="1">
    <i>
      <x v="13"/>
      <x v="307"/>
      <x v="174"/>
      <x v="178"/>
      <x v="1"/>
      <x v="2"/>
      <x v="292"/>
    </i>
  </rowItems>
  <colItems count="1">
    <i/>
  </colItems>
  <formats count="803">
    <format dxfId="987">
      <pivotArea type="all" dataOnly="0" outline="0" fieldPosition="0"/>
    </format>
    <format dxfId="986">
      <pivotArea field="7" type="button" dataOnly="0" labelOnly="1" outline="0" axis="axisRow" fieldPosition="0"/>
    </format>
    <format dxfId="985">
      <pivotArea field="1" type="button" dataOnly="0" labelOnly="1" outline="0" axis="axisRow" fieldPosition="1"/>
    </format>
    <format dxfId="984">
      <pivotArea field="8" type="button" dataOnly="0" labelOnly="1" outline="0" axis="axisRow" fieldPosition="2"/>
    </format>
    <format dxfId="983">
      <pivotArea field="11" type="button" dataOnly="0" labelOnly="1" outline="0" axis="axisRow" fieldPosition="3"/>
    </format>
    <format dxfId="982">
      <pivotArea field="12" type="button" dataOnly="0" labelOnly="1" outline="0" axis="axisRow" fieldPosition="4"/>
    </format>
    <format dxfId="981">
      <pivotArea field="14" type="button" dataOnly="0" labelOnly="1" outline="0" axis="axisRow" fieldPosition="5"/>
    </format>
    <format dxfId="980">
      <pivotArea field="13" type="button" dataOnly="0" labelOnly="1" outline="0" axis="axisRow" fieldPosition="6"/>
    </format>
    <format dxfId="979">
      <pivotArea dataOnly="0" labelOnly="1" outline="0" fieldPosition="0">
        <references count="1">
          <reference field="7" count="0"/>
        </references>
      </pivotArea>
    </format>
    <format dxfId="978">
      <pivotArea dataOnly="0" labelOnly="1" outline="0" fieldPosition="0">
        <references count="2">
          <reference field="1" count="12">
            <x v="121"/>
            <x v="122"/>
            <x v="124"/>
            <x v="173"/>
            <x v="195"/>
            <x v="196"/>
            <x v="198"/>
            <x v="200"/>
            <x v="201"/>
            <x v="240"/>
            <x v="247"/>
            <x v="248"/>
          </reference>
          <reference field="7" count="1" selected="0">
            <x v="0"/>
          </reference>
        </references>
      </pivotArea>
    </format>
    <format dxfId="977">
      <pivotArea dataOnly="0" labelOnly="1" outline="0" fieldPosition="0">
        <references count="2">
          <reference field="1" count="7">
            <x v="23"/>
            <x v="44"/>
            <x v="60"/>
            <x v="73"/>
            <x v="79"/>
            <x v="251"/>
            <x v="252"/>
          </reference>
          <reference field="7" count="1" selected="0">
            <x v="1"/>
          </reference>
        </references>
      </pivotArea>
    </format>
    <format dxfId="976">
      <pivotArea dataOnly="0" labelOnly="1" outline="0" fieldPosition="0">
        <references count="2">
          <reference field="1" count="11">
            <x v="0"/>
            <x v="1"/>
            <x v="2"/>
            <x v="3"/>
            <x v="4"/>
            <x v="5"/>
            <x v="16"/>
            <x v="18"/>
            <x v="21"/>
            <x v="52"/>
            <x v="117"/>
          </reference>
          <reference field="7" count="1" selected="0">
            <x v="2"/>
          </reference>
        </references>
      </pivotArea>
    </format>
    <format dxfId="975">
      <pivotArea dataOnly="0" labelOnly="1" outline="0" fieldPosition="0">
        <references count="2">
          <reference field="1" count="12"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</reference>
          <reference field="7" count="1" selected="0">
            <x v="3"/>
          </reference>
        </references>
      </pivotArea>
    </format>
    <format dxfId="974">
      <pivotArea dataOnly="0" labelOnly="1" outline="0" fieldPosition="0">
        <references count="2">
          <reference field="1" count="7">
            <x v="53"/>
            <x v="92"/>
            <x v="157"/>
            <x v="197"/>
            <x v="199"/>
            <x v="274"/>
            <x v="275"/>
          </reference>
          <reference field="7" count="1" selected="0">
            <x v="4"/>
          </reference>
        </references>
      </pivotArea>
    </format>
    <format dxfId="973">
      <pivotArea dataOnly="0" labelOnly="1" outline="0" fieldPosition="0">
        <references count="2">
          <reference field="1" count="38">
            <x v="87"/>
            <x v="103"/>
            <x v="129"/>
            <x v="130"/>
            <x v="131"/>
            <x v="132"/>
            <x v="146"/>
            <x v="147"/>
            <x v="148"/>
            <x v="159"/>
            <x v="162"/>
            <x v="175"/>
            <x v="179"/>
            <x v="186"/>
            <x v="187"/>
            <x v="190"/>
            <x v="191"/>
            <x v="192"/>
            <x v="202"/>
            <x v="208"/>
            <x v="216"/>
            <x v="217"/>
            <x v="218"/>
            <x v="219"/>
            <x v="220"/>
            <x v="224"/>
            <x v="227"/>
            <x v="231"/>
            <x v="232"/>
            <x v="235"/>
            <x v="236"/>
            <x v="245"/>
            <x v="249"/>
            <x v="253"/>
            <x v="254"/>
            <x v="255"/>
            <x v="256"/>
            <x v="263"/>
          </reference>
          <reference field="7" count="1" selected="0">
            <x v="5"/>
          </reference>
        </references>
      </pivotArea>
    </format>
    <format dxfId="972">
      <pivotArea dataOnly="0" labelOnly="1" outline="0" fieldPosition="0">
        <references count="2">
          <reference field="1" count="45">
            <x v="31"/>
            <x v="32"/>
            <x v="33"/>
            <x v="34"/>
            <x v="35"/>
            <x v="36"/>
            <x v="37"/>
            <x v="38"/>
            <x v="49"/>
            <x v="83"/>
            <x v="101"/>
            <x v="102"/>
            <x v="119"/>
            <x v="120"/>
            <x v="12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50"/>
            <x v="151"/>
            <x v="176"/>
            <x v="177"/>
            <x v="178"/>
            <x v="180"/>
            <x v="181"/>
            <x v="182"/>
            <x v="209"/>
            <x v="212"/>
            <x v="213"/>
            <x v="215"/>
            <x v="221"/>
            <x v="243"/>
            <x v="244"/>
            <x v="258"/>
            <x v="260"/>
            <x v="262"/>
          </reference>
          <reference field="7" count="1" selected="0">
            <x v="6"/>
          </reference>
        </references>
      </pivotArea>
    </format>
    <format dxfId="971">
      <pivotArea dataOnly="0" labelOnly="1" outline="0" fieldPosition="0">
        <references count="2">
          <reference field="1" count="10">
            <x v="59"/>
            <x v="62"/>
            <x v="63"/>
            <x v="71"/>
            <x v="72"/>
            <x v="74"/>
            <x v="75"/>
            <x v="149"/>
            <x v="164"/>
            <x v="188"/>
          </reference>
          <reference field="7" count="1" selected="0">
            <x v="7"/>
          </reference>
        </references>
      </pivotArea>
    </format>
    <format dxfId="970">
      <pivotArea dataOnly="0" labelOnly="1" outline="0" fieldPosition="0">
        <references count="2">
          <reference field="1" count="2">
            <x v="64"/>
            <x v="183"/>
          </reference>
          <reference field="7" count="1" selected="0">
            <x v="8"/>
          </reference>
        </references>
      </pivotArea>
    </format>
    <format dxfId="969">
      <pivotArea dataOnly="0" labelOnly="1" outline="0" fieldPosition="0">
        <references count="2">
          <reference field="1" count="8">
            <x v="54"/>
            <x v="104"/>
            <x v="223"/>
            <x v="225"/>
            <x v="226"/>
            <x v="234"/>
            <x v="237"/>
            <x v="261"/>
          </reference>
          <reference field="7" count="1" selected="0">
            <x v="9"/>
          </reference>
        </references>
      </pivotArea>
    </format>
    <format dxfId="968">
      <pivotArea dataOnly="0" labelOnly="1" outline="0" fieldPosition="0">
        <references count="2">
          <reference field="1" count="6">
            <x v="45"/>
            <x v="61"/>
            <x v="86"/>
            <x v="98"/>
            <x v="155"/>
            <x v="239"/>
          </reference>
          <reference field="7" count="1" selected="0">
            <x v="10"/>
          </reference>
        </references>
      </pivotArea>
    </format>
    <format dxfId="967">
      <pivotArea dataOnly="0" labelOnly="1" outline="0" fieldPosition="0">
        <references count="2">
          <reference field="1" count="9">
            <x v="165"/>
            <x v="166"/>
            <x v="167"/>
            <x v="168"/>
            <x v="169"/>
            <x v="170"/>
            <x v="171"/>
            <x v="172"/>
            <x v="204"/>
          </reference>
          <reference field="7" count="1" selected="0">
            <x v="11"/>
          </reference>
        </references>
      </pivotArea>
    </format>
    <format dxfId="966">
      <pivotArea dataOnly="0" labelOnly="1" outline="0" fieldPosition="0">
        <references count="2">
          <reference field="1" count="3">
            <x v="84"/>
            <x v="184"/>
            <x v="185"/>
          </reference>
          <reference field="7" count="1" selected="0">
            <x v="12"/>
          </reference>
        </references>
      </pivotArea>
    </format>
    <format dxfId="965">
      <pivotArea dataOnly="0" labelOnly="1" outline="0" fieldPosition="0">
        <references count="2">
          <reference field="1" count="4">
            <x v="95"/>
            <x v="96"/>
            <x v="97"/>
            <x v="238"/>
          </reference>
          <reference field="7" count="1" selected="0">
            <x v="13"/>
          </reference>
        </references>
      </pivotArea>
    </format>
    <format dxfId="964">
      <pivotArea dataOnly="0" labelOnly="1" outline="0" fieldPosition="0">
        <references count="2">
          <reference field="1" count="3">
            <x v="40"/>
            <x v="203"/>
            <x v="246"/>
          </reference>
          <reference field="7" count="1" selected="0">
            <x v="14"/>
          </reference>
        </references>
      </pivotArea>
    </format>
    <format dxfId="963">
      <pivotArea dataOnly="0" labelOnly="1" outline="0" fieldPosition="0">
        <references count="2">
          <reference field="1" count="12">
            <x v="88"/>
            <x v="89"/>
            <x v="91"/>
            <x v="100"/>
            <x v="125"/>
            <x v="126"/>
            <x v="127"/>
            <x v="257"/>
            <x v="265"/>
            <x v="266"/>
            <x v="267"/>
            <x v="268"/>
          </reference>
          <reference field="7" count="1" selected="0">
            <x v="15"/>
          </reference>
        </references>
      </pivotArea>
    </format>
    <format dxfId="962">
      <pivotArea dataOnly="0" labelOnly="1" outline="0" fieldPosition="0">
        <references count="2">
          <reference field="1" count="41">
            <x v="6"/>
            <x v="7"/>
            <x v="8"/>
            <x v="9"/>
            <x v="10"/>
            <x v="11"/>
            <x v="12"/>
            <x v="13"/>
            <x v="14"/>
            <x v="15"/>
            <x v="17"/>
            <x v="19"/>
            <x v="20"/>
            <x v="22"/>
            <x v="24"/>
            <x v="25"/>
            <x v="26"/>
            <x v="27"/>
            <x v="28"/>
            <x v="29"/>
            <x v="30"/>
            <x v="39"/>
            <x v="42"/>
            <x v="43"/>
            <x v="46"/>
            <x v="51"/>
            <x v="55"/>
            <x v="56"/>
            <x v="57"/>
            <x v="58"/>
            <x v="65"/>
            <x v="66"/>
            <x v="67"/>
            <x v="68"/>
            <x v="69"/>
            <x v="70"/>
            <x v="78"/>
            <x v="80"/>
            <x v="81"/>
            <x v="82"/>
            <x v="233"/>
          </reference>
          <reference field="7" count="1" selected="0">
            <x v="16"/>
          </reference>
        </references>
      </pivotArea>
    </format>
    <format dxfId="961">
      <pivotArea dataOnly="0" labelOnly="1" outline="0" fieldPosition="0">
        <references count="2">
          <reference field="1" count="29">
            <x v="47"/>
            <x v="48"/>
            <x v="93"/>
            <x v="94"/>
            <x v="99"/>
            <x v="118"/>
            <x v="128"/>
            <x v="133"/>
            <x v="152"/>
            <x v="153"/>
            <x v="154"/>
            <x v="158"/>
            <x v="161"/>
            <x v="174"/>
            <x v="189"/>
            <x v="205"/>
            <x v="206"/>
            <x v="207"/>
            <x v="211"/>
            <x v="214"/>
            <x v="222"/>
            <x v="230"/>
            <x v="237"/>
            <x v="250"/>
            <x v="259"/>
            <x v="264"/>
            <x v="269"/>
            <x v="270"/>
            <x v="271"/>
          </reference>
          <reference field="7" count="1" selected="0">
            <x v="17"/>
          </reference>
        </references>
      </pivotArea>
    </format>
    <format dxfId="960">
      <pivotArea dataOnly="0" labelOnly="1" outline="0" fieldPosition="0">
        <references count="2">
          <reference field="1" count="3">
            <x v="76"/>
            <x v="77"/>
            <x v="85"/>
          </reference>
          <reference field="7" count="1" selected="0">
            <x v="18"/>
          </reference>
        </references>
      </pivotArea>
    </format>
    <format dxfId="959">
      <pivotArea dataOnly="0" labelOnly="1" outline="0" fieldPosition="0">
        <references count="2">
          <reference field="1" count="5">
            <x v="90"/>
            <x v="156"/>
            <x v="193"/>
            <x v="210"/>
            <x v="242"/>
          </reference>
          <reference field="7" count="1" selected="0">
            <x v="19"/>
          </reference>
        </references>
      </pivotArea>
    </format>
    <format dxfId="958">
      <pivotArea dataOnly="0" labelOnly="1" outline="0" fieldPosition="0">
        <references count="2">
          <reference field="1" count="6">
            <x v="41"/>
            <x v="50"/>
            <x v="194"/>
            <x v="241"/>
            <x v="272"/>
            <x v="273"/>
          </reference>
          <reference field="7" count="1" selected="0">
            <x v="20"/>
          </reference>
        </references>
      </pivotArea>
    </format>
    <format dxfId="957">
      <pivotArea dataOnly="0" labelOnly="1" outline="0" fieldPosition="0">
        <references count="2">
          <reference field="1" count="5">
            <x v="125"/>
            <x v="160"/>
            <x v="163"/>
            <x v="228"/>
            <x v="229"/>
          </reference>
          <reference field="7" count="1" selected="0">
            <x v="21"/>
          </reference>
        </references>
      </pivotArea>
    </format>
    <format dxfId="956">
      <pivotArea dataOnly="0" labelOnly="1" outline="0" fieldPosition="0">
        <references count="3">
          <reference field="1" count="1" selected="0">
            <x v="121"/>
          </reference>
          <reference field="7" count="1" selected="0">
            <x v="0"/>
          </reference>
          <reference field="8" count="1">
            <x v="158"/>
          </reference>
        </references>
      </pivotArea>
    </format>
    <format dxfId="955">
      <pivotArea dataOnly="0" labelOnly="1" outline="0" fieldPosition="0">
        <references count="3">
          <reference field="1" count="1" selected="0">
            <x v="122"/>
          </reference>
          <reference field="7" count="1" selected="0">
            <x v="0"/>
          </reference>
          <reference field="8" count="1">
            <x v="23"/>
          </reference>
        </references>
      </pivotArea>
    </format>
    <format dxfId="954">
      <pivotArea dataOnly="0" labelOnly="1" outline="0" fieldPosition="0">
        <references count="3">
          <reference field="1" count="1" selected="0">
            <x v="124"/>
          </reference>
          <reference field="7" count="1" selected="0">
            <x v="0"/>
          </reference>
          <reference field="8" count="1">
            <x v="28"/>
          </reference>
        </references>
      </pivotArea>
    </format>
    <format dxfId="953">
      <pivotArea dataOnly="0" labelOnly="1" outline="0" fieldPosition="0">
        <references count="3">
          <reference field="1" count="1" selected="0">
            <x v="173"/>
          </reference>
          <reference field="7" count="1" selected="0">
            <x v="0"/>
          </reference>
          <reference field="8" count="1">
            <x v="101"/>
          </reference>
        </references>
      </pivotArea>
    </format>
    <format dxfId="952">
      <pivotArea dataOnly="0" labelOnly="1" outline="0" fieldPosition="0">
        <references count="3">
          <reference field="1" count="1" selected="0">
            <x v="195"/>
          </reference>
          <reference field="7" count="1" selected="0">
            <x v="0"/>
          </reference>
          <reference field="8" count="1">
            <x v="35"/>
          </reference>
        </references>
      </pivotArea>
    </format>
    <format dxfId="951">
      <pivotArea dataOnly="0" labelOnly="1" outline="0" fieldPosition="0">
        <references count="3">
          <reference field="1" count="1" selected="0">
            <x v="196"/>
          </reference>
          <reference field="7" count="1" selected="0">
            <x v="0"/>
          </reference>
          <reference field="8" count="1">
            <x v="58"/>
          </reference>
        </references>
      </pivotArea>
    </format>
    <format dxfId="950">
      <pivotArea dataOnly="0" labelOnly="1" outline="0" fieldPosition="0">
        <references count="3">
          <reference field="1" count="1" selected="0">
            <x v="198"/>
          </reference>
          <reference field="7" count="1" selected="0">
            <x v="0"/>
          </reference>
          <reference field="8" count="1">
            <x v="24"/>
          </reference>
        </references>
      </pivotArea>
    </format>
    <format dxfId="949">
      <pivotArea dataOnly="0" labelOnly="1" outline="0" fieldPosition="0">
        <references count="3">
          <reference field="1" count="1" selected="0">
            <x v="200"/>
          </reference>
          <reference field="7" count="1" selected="0">
            <x v="0"/>
          </reference>
          <reference field="8" count="1">
            <x v="45"/>
          </reference>
        </references>
      </pivotArea>
    </format>
    <format dxfId="948">
      <pivotArea dataOnly="0" labelOnly="1" outline="0" fieldPosition="0">
        <references count="3">
          <reference field="1" count="1" selected="0">
            <x v="201"/>
          </reference>
          <reference field="7" count="1" selected="0">
            <x v="0"/>
          </reference>
          <reference field="8" count="1">
            <x v="158"/>
          </reference>
        </references>
      </pivotArea>
    </format>
    <format dxfId="947">
      <pivotArea dataOnly="0" labelOnly="1" outline="0" fieldPosition="0">
        <references count="3">
          <reference field="1" count="1" selected="0">
            <x v="240"/>
          </reference>
          <reference field="7" count="1" selected="0">
            <x v="0"/>
          </reference>
          <reference field="8" count="1">
            <x v="19"/>
          </reference>
        </references>
      </pivotArea>
    </format>
    <format dxfId="946">
      <pivotArea dataOnly="0" labelOnly="1" outline="0" fieldPosition="0">
        <references count="3">
          <reference field="1" count="1" selected="0">
            <x v="247"/>
          </reference>
          <reference field="7" count="1" selected="0">
            <x v="0"/>
          </reference>
          <reference field="8" count="1">
            <x v="39"/>
          </reference>
        </references>
      </pivotArea>
    </format>
    <format dxfId="945">
      <pivotArea dataOnly="0" labelOnly="1" outline="0" fieldPosition="0">
        <references count="3">
          <reference field="1" count="1" selected="0">
            <x v="248"/>
          </reference>
          <reference field="7" count="1" selected="0">
            <x v="0"/>
          </reference>
          <reference field="8" count="1">
            <x v="100"/>
          </reference>
        </references>
      </pivotArea>
    </format>
    <format dxfId="944">
      <pivotArea dataOnly="0" labelOnly="1" outline="0" fieldPosition="0">
        <references count="3">
          <reference field="1" count="1" selected="0">
            <x v="23"/>
          </reference>
          <reference field="7" count="1" selected="0">
            <x v="1"/>
          </reference>
          <reference field="8" count="1">
            <x v="113"/>
          </reference>
        </references>
      </pivotArea>
    </format>
    <format dxfId="943">
      <pivotArea dataOnly="0" labelOnly="1" outline="0" fieldPosition="0">
        <references count="3">
          <reference field="1" count="1" selected="0">
            <x v="44"/>
          </reference>
          <reference field="7" count="1" selected="0">
            <x v="1"/>
          </reference>
          <reference field="8" count="1">
            <x v="116"/>
          </reference>
        </references>
      </pivotArea>
    </format>
    <format dxfId="942">
      <pivotArea dataOnly="0" labelOnly="1" outline="0" fieldPosition="0">
        <references count="3">
          <reference field="1" count="1" selected="0">
            <x v="60"/>
          </reference>
          <reference field="7" count="1" selected="0">
            <x v="1"/>
          </reference>
          <reference field="8" count="1">
            <x v="121"/>
          </reference>
        </references>
      </pivotArea>
    </format>
    <format dxfId="941">
      <pivotArea dataOnly="0" labelOnly="1" outline="0" fieldPosition="0">
        <references count="3">
          <reference field="1" count="1" selected="0">
            <x v="73"/>
          </reference>
          <reference field="7" count="1" selected="0">
            <x v="1"/>
          </reference>
          <reference field="8" count="1">
            <x v="127"/>
          </reference>
        </references>
      </pivotArea>
    </format>
    <format dxfId="940">
      <pivotArea dataOnly="0" labelOnly="1" outline="0" fieldPosition="0">
        <references count="3">
          <reference field="1" count="1" selected="0">
            <x v="79"/>
          </reference>
          <reference field="7" count="1" selected="0">
            <x v="1"/>
          </reference>
          <reference field="8" count="1">
            <x v="136"/>
          </reference>
        </references>
      </pivotArea>
    </format>
    <format dxfId="939">
      <pivotArea dataOnly="0" labelOnly="1" outline="0" fieldPosition="0">
        <references count="3">
          <reference field="1" count="1" selected="0">
            <x v="251"/>
          </reference>
          <reference field="7" count="1" selected="0">
            <x v="1"/>
          </reference>
          <reference field="8" count="1">
            <x v="158"/>
          </reference>
        </references>
      </pivotArea>
    </format>
    <format dxfId="938">
      <pivotArea dataOnly="0" labelOnly="1" outline="0" fieldPosition="0">
        <references count="3">
          <reference field="1" count="1" selected="0">
            <x v="0"/>
          </reference>
          <reference field="7" count="1" selected="0">
            <x v="2"/>
          </reference>
          <reference field="8" count="1">
            <x v="147"/>
          </reference>
        </references>
      </pivotArea>
    </format>
    <format dxfId="937">
      <pivotArea dataOnly="0" labelOnly="1" outline="0" fieldPosition="0">
        <references count="3">
          <reference field="1" count="1" selected="0">
            <x v="117"/>
          </reference>
          <reference field="7" count="1" selected="0">
            <x v="2"/>
          </reference>
          <reference field="8" count="1">
            <x v="158"/>
          </reference>
        </references>
      </pivotArea>
    </format>
    <format dxfId="936">
      <pivotArea dataOnly="0" labelOnly="1" outline="0" fieldPosition="0">
        <references count="3">
          <reference field="1" count="1" selected="0">
            <x v="53"/>
          </reference>
          <reference field="7" count="1" selected="0">
            <x v="4"/>
          </reference>
          <reference field="8" count="1">
            <x v="42"/>
          </reference>
        </references>
      </pivotArea>
    </format>
    <format dxfId="935">
      <pivotArea dataOnly="0" labelOnly="1" outline="0" fieldPosition="0">
        <references count="3">
          <reference field="1" count="1" selected="0">
            <x v="92"/>
          </reference>
          <reference field="7" count="1" selected="0">
            <x v="4"/>
          </reference>
          <reference field="8" count="1">
            <x v="98"/>
          </reference>
        </references>
      </pivotArea>
    </format>
    <format dxfId="934">
      <pivotArea dataOnly="0" labelOnly="1" outline="0" fieldPosition="0">
        <references count="3">
          <reference field="1" count="1" selected="0">
            <x v="157"/>
          </reference>
          <reference field="7" count="1" selected="0">
            <x v="4"/>
          </reference>
          <reference field="8" count="1">
            <x v="151"/>
          </reference>
        </references>
      </pivotArea>
    </format>
    <format dxfId="933">
      <pivotArea dataOnly="0" labelOnly="1" outline="0" fieldPosition="0">
        <references count="3">
          <reference field="1" count="1" selected="0">
            <x v="197"/>
          </reference>
          <reference field="7" count="1" selected="0">
            <x v="4"/>
          </reference>
          <reference field="8" count="1">
            <x v="40"/>
          </reference>
        </references>
      </pivotArea>
    </format>
    <format dxfId="932">
      <pivotArea dataOnly="0" labelOnly="1" outline="0" fieldPosition="0">
        <references count="3">
          <reference field="1" count="1" selected="0">
            <x v="199"/>
          </reference>
          <reference field="7" count="1" selected="0">
            <x v="4"/>
          </reference>
          <reference field="8" count="1">
            <x v="158"/>
          </reference>
        </references>
      </pivotArea>
    </format>
    <format dxfId="931">
      <pivotArea dataOnly="0" labelOnly="1" outline="0" fieldPosition="0">
        <references count="3">
          <reference field="1" count="1" selected="0">
            <x v="274"/>
          </reference>
          <reference field="7" count="1" selected="0">
            <x v="4"/>
          </reference>
          <reference field="8" count="1">
            <x v="87"/>
          </reference>
        </references>
      </pivotArea>
    </format>
    <format dxfId="930">
      <pivotArea dataOnly="0" labelOnly="1" outline="0" fieldPosition="0">
        <references count="3">
          <reference field="1" count="1" selected="0">
            <x v="275"/>
          </reference>
          <reference field="7" count="1" selected="0">
            <x v="4"/>
          </reference>
          <reference field="8" count="1">
            <x v="96"/>
          </reference>
        </references>
      </pivotArea>
    </format>
    <format dxfId="929">
      <pivotArea dataOnly="0" labelOnly="1" outline="0" fieldPosition="0">
        <references count="3">
          <reference field="1" count="1" selected="0">
            <x v="87"/>
          </reference>
          <reference field="7" count="1" selected="0">
            <x v="5"/>
          </reference>
          <reference field="8" count="1">
            <x v="80"/>
          </reference>
        </references>
      </pivotArea>
    </format>
    <format dxfId="928">
      <pivotArea dataOnly="0" labelOnly="1" outline="0" fieldPosition="0">
        <references count="3">
          <reference field="1" count="1" selected="0">
            <x v="103"/>
          </reference>
          <reference field="7" count="1" selected="0">
            <x v="5"/>
          </reference>
          <reference field="8" count="1">
            <x v="11"/>
          </reference>
        </references>
      </pivotArea>
    </format>
    <format dxfId="927">
      <pivotArea dataOnly="0" labelOnly="1" outline="0" fieldPosition="0">
        <references count="3">
          <reference field="1" count="1" selected="0">
            <x v="129"/>
          </reference>
          <reference field="7" count="1" selected="0">
            <x v="5"/>
          </reference>
          <reference field="8" count="1">
            <x v="59"/>
          </reference>
        </references>
      </pivotArea>
    </format>
    <format dxfId="926">
      <pivotArea dataOnly="0" labelOnly="1" outline="0" fieldPosition="0">
        <references count="3">
          <reference field="1" count="1" selected="0">
            <x v="130"/>
          </reference>
          <reference field="7" count="1" selected="0">
            <x v="5"/>
          </reference>
          <reference field="8" count="1">
            <x v="149"/>
          </reference>
        </references>
      </pivotArea>
    </format>
    <format dxfId="925">
      <pivotArea dataOnly="0" labelOnly="1" outline="0" fieldPosition="0">
        <references count="3">
          <reference field="1" count="1" selected="0">
            <x v="131"/>
          </reference>
          <reference field="7" count="1" selected="0">
            <x v="5"/>
          </reference>
          <reference field="8" count="1">
            <x v="148"/>
          </reference>
        </references>
      </pivotArea>
    </format>
    <format dxfId="924">
      <pivotArea dataOnly="0" labelOnly="1" outline="0" fieldPosition="0">
        <references count="3">
          <reference field="1" count="1" selected="0">
            <x v="132"/>
          </reference>
          <reference field="7" count="1" selected="0">
            <x v="5"/>
          </reference>
          <reference field="8" count="1">
            <x v="90"/>
          </reference>
        </references>
      </pivotArea>
    </format>
    <format dxfId="923">
      <pivotArea dataOnly="0" labelOnly="1" outline="0" fieldPosition="0">
        <references count="3">
          <reference field="1" count="1" selected="0">
            <x v="146"/>
          </reference>
          <reference field="7" count="1" selected="0">
            <x v="5"/>
          </reference>
          <reference field="8" count="1">
            <x v="51"/>
          </reference>
        </references>
      </pivotArea>
    </format>
    <format dxfId="922">
      <pivotArea dataOnly="0" labelOnly="1" outline="0" fieldPosition="0">
        <references count="3">
          <reference field="1" count="1" selected="0">
            <x v="147"/>
          </reference>
          <reference field="7" count="1" selected="0">
            <x v="5"/>
          </reference>
          <reference field="8" count="1">
            <x v="33"/>
          </reference>
        </references>
      </pivotArea>
    </format>
    <format dxfId="921">
      <pivotArea dataOnly="0" labelOnly="1" outline="0" fieldPosition="0">
        <references count="3">
          <reference field="1" count="1" selected="0">
            <x v="148"/>
          </reference>
          <reference field="7" count="1" selected="0">
            <x v="5"/>
          </reference>
          <reference field="8" count="1">
            <x v="50"/>
          </reference>
        </references>
      </pivotArea>
    </format>
    <format dxfId="920">
      <pivotArea dataOnly="0" labelOnly="1" outline="0" fieldPosition="0">
        <references count="3">
          <reference field="1" count="1" selected="0">
            <x v="159"/>
          </reference>
          <reference field="7" count="1" selected="0">
            <x v="5"/>
          </reference>
          <reference field="8" count="1">
            <x v="158"/>
          </reference>
        </references>
      </pivotArea>
    </format>
    <format dxfId="919">
      <pivotArea dataOnly="0" labelOnly="1" outline="0" fieldPosition="0">
        <references count="3">
          <reference field="1" count="1" selected="0">
            <x v="162"/>
          </reference>
          <reference field="7" count="1" selected="0">
            <x v="5"/>
          </reference>
          <reference field="8" count="1">
            <x v="53"/>
          </reference>
        </references>
      </pivotArea>
    </format>
    <format dxfId="918">
      <pivotArea dataOnly="0" labelOnly="1" outline="0" fieldPosition="0">
        <references count="3">
          <reference field="1" count="1" selected="0">
            <x v="175"/>
          </reference>
          <reference field="7" count="1" selected="0">
            <x v="5"/>
          </reference>
          <reference field="8" count="1">
            <x v="61"/>
          </reference>
        </references>
      </pivotArea>
    </format>
    <format dxfId="917">
      <pivotArea dataOnly="0" labelOnly="1" outline="0" fieldPosition="0">
        <references count="3">
          <reference field="1" count="1" selected="0">
            <x v="179"/>
          </reference>
          <reference field="7" count="1" selected="0">
            <x v="5"/>
          </reference>
          <reference field="8" count="1">
            <x v="152"/>
          </reference>
        </references>
      </pivotArea>
    </format>
    <format dxfId="916">
      <pivotArea dataOnly="0" labelOnly="1" outline="0" fieldPosition="0">
        <references count="3">
          <reference field="1" count="1" selected="0">
            <x v="186"/>
          </reference>
          <reference field="7" count="1" selected="0">
            <x v="5"/>
          </reference>
          <reference field="8" count="1">
            <x v="22"/>
          </reference>
        </references>
      </pivotArea>
    </format>
    <format dxfId="915">
      <pivotArea dataOnly="0" labelOnly="1" outline="0" fieldPosition="0">
        <references count="3">
          <reference field="1" count="1" selected="0">
            <x v="187"/>
          </reference>
          <reference field="7" count="1" selected="0">
            <x v="5"/>
          </reference>
          <reference field="8" count="1">
            <x v="17"/>
          </reference>
        </references>
      </pivotArea>
    </format>
    <format dxfId="914">
      <pivotArea dataOnly="0" labelOnly="1" outline="0" fieldPosition="0">
        <references count="3">
          <reference field="1" count="1" selected="0">
            <x v="190"/>
          </reference>
          <reference field="7" count="1" selected="0">
            <x v="5"/>
          </reference>
          <reference field="8" count="1">
            <x v="141"/>
          </reference>
        </references>
      </pivotArea>
    </format>
    <format dxfId="913">
      <pivotArea dataOnly="0" labelOnly="1" outline="0" fieldPosition="0">
        <references count="3">
          <reference field="1" count="1" selected="0">
            <x v="191"/>
          </reference>
          <reference field="7" count="1" selected="0">
            <x v="5"/>
          </reference>
          <reference field="8" count="1">
            <x v="6"/>
          </reference>
        </references>
      </pivotArea>
    </format>
    <format dxfId="912">
      <pivotArea dataOnly="0" labelOnly="1" outline="0" fieldPosition="0">
        <references count="3">
          <reference field="1" count="1" selected="0">
            <x v="192"/>
          </reference>
          <reference field="7" count="1" selected="0">
            <x v="5"/>
          </reference>
          <reference field="8" count="1">
            <x v="138"/>
          </reference>
        </references>
      </pivotArea>
    </format>
    <format dxfId="911">
      <pivotArea dataOnly="0" labelOnly="1" outline="0" fieldPosition="0">
        <references count="3">
          <reference field="1" count="1" selected="0">
            <x v="202"/>
          </reference>
          <reference field="7" count="1" selected="0">
            <x v="5"/>
          </reference>
          <reference field="8" count="1">
            <x v="150"/>
          </reference>
        </references>
      </pivotArea>
    </format>
    <format dxfId="910">
      <pivotArea dataOnly="0" labelOnly="1" outline="0" fieldPosition="0">
        <references count="3">
          <reference field="1" count="1" selected="0">
            <x v="208"/>
          </reference>
          <reference field="7" count="1" selected="0">
            <x v="5"/>
          </reference>
          <reference field="8" count="1">
            <x v="52"/>
          </reference>
        </references>
      </pivotArea>
    </format>
    <format dxfId="909">
      <pivotArea dataOnly="0" labelOnly="1" outline="0" fieldPosition="0">
        <references count="3">
          <reference field="1" count="1" selected="0">
            <x v="216"/>
          </reference>
          <reference field="7" count="1" selected="0">
            <x v="5"/>
          </reference>
          <reference field="8" count="1">
            <x v="70"/>
          </reference>
        </references>
      </pivotArea>
    </format>
    <format dxfId="908">
      <pivotArea dataOnly="0" labelOnly="1" outline="0" fieldPosition="0">
        <references count="3">
          <reference field="1" count="1" selected="0">
            <x v="217"/>
          </reference>
          <reference field="7" count="1" selected="0">
            <x v="5"/>
          </reference>
          <reference field="8" count="1">
            <x v="48"/>
          </reference>
        </references>
      </pivotArea>
    </format>
    <format dxfId="907">
      <pivotArea dataOnly="0" labelOnly="1" outline="0" fieldPosition="0">
        <references count="3">
          <reference field="1" count="1" selected="0">
            <x v="218"/>
          </reference>
          <reference field="7" count="1" selected="0">
            <x v="5"/>
          </reference>
          <reference field="8" count="2">
            <x v="108"/>
            <x v="145"/>
          </reference>
        </references>
      </pivotArea>
    </format>
    <format dxfId="906">
      <pivotArea dataOnly="0" labelOnly="1" outline="0" fieldPosition="0">
        <references count="3">
          <reference field="1" count="1" selected="0">
            <x v="219"/>
          </reference>
          <reference field="7" count="1" selected="0">
            <x v="5"/>
          </reference>
          <reference field="8" count="1">
            <x v="146"/>
          </reference>
        </references>
      </pivotArea>
    </format>
    <format dxfId="905">
      <pivotArea dataOnly="0" labelOnly="1" outline="0" fieldPosition="0">
        <references count="3">
          <reference field="1" count="1" selected="0">
            <x v="220"/>
          </reference>
          <reference field="7" count="1" selected="0">
            <x v="5"/>
          </reference>
          <reference field="8" count="1">
            <x v="158"/>
          </reference>
        </references>
      </pivotArea>
    </format>
    <format dxfId="904">
      <pivotArea dataOnly="0" labelOnly="1" outline="0" fieldPosition="0">
        <references count="3">
          <reference field="1" count="1" selected="0">
            <x v="224"/>
          </reference>
          <reference field="7" count="1" selected="0">
            <x v="5"/>
          </reference>
          <reference field="8" count="1">
            <x v="34"/>
          </reference>
        </references>
      </pivotArea>
    </format>
    <format dxfId="903">
      <pivotArea dataOnly="0" labelOnly="1" outline="0" fieldPosition="0">
        <references count="3">
          <reference field="1" count="1" selected="0">
            <x v="227"/>
          </reference>
          <reference field="7" count="1" selected="0">
            <x v="5"/>
          </reference>
          <reference field="8" count="1">
            <x v="158"/>
          </reference>
        </references>
      </pivotArea>
    </format>
    <format dxfId="902">
      <pivotArea dataOnly="0" labelOnly="1" outline="0" fieldPosition="0">
        <references count="3">
          <reference field="1" count="1" selected="0">
            <x v="231"/>
          </reference>
          <reference field="7" count="1" selected="0">
            <x v="5"/>
          </reference>
          <reference field="8" count="1">
            <x v="65"/>
          </reference>
        </references>
      </pivotArea>
    </format>
    <format dxfId="901">
      <pivotArea dataOnly="0" labelOnly="1" outline="0" fieldPosition="0">
        <references count="3">
          <reference field="1" count="1" selected="0">
            <x v="232"/>
          </reference>
          <reference field="7" count="1" selected="0">
            <x v="5"/>
          </reference>
          <reference field="8" count="1">
            <x v="72"/>
          </reference>
        </references>
      </pivotArea>
    </format>
    <format dxfId="900">
      <pivotArea dataOnly="0" labelOnly="1" outline="0" fieldPosition="0">
        <references count="3">
          <reference field="1" count="1" selected="0">
            <x v="235"/>
          </reference>
          <reference field="7" count="1" selected="0">
            <x v="5"/>
          </reference>
          <reference field="8" count="1">
            <x v="85"/>
          </reference>
        </references>
      </pivotArea>
    </format>
    <format dxfId="899">
      <pivotArea dataOnly="0" labelOnly="1" outline="0" fieldPosition="0">
        <references count="3">
          <reference field="1" count="1" selected="0">
            <x v="236"/>
          </reference>
          <reference field="7" count="1" selected="0">
            <x v="5"/>
          </reference>
          <reference field="8" count="1">
            <x v="142"/>
          </reference>
        </references>
      </pivotArea>
    </format>
    <format dxfId="898">
      <pivotArea dataOnly="0" labelOnly="1" outline="0" fieldPosition="0">
        <references count="3">
          <reference field="1" count="1" selected="0">
            <x v="245"/>
          </reference>
          <reference field="7" count="1" selected="0">
            <x v="5"/>
          </reference>
          <reference field="8" count="1">
            <x v="102"/>
          </reference>
        </references>
      </pivotArea>
    </format>
    <format dxfId="897">
      <pivotArea dataOnly="0" labelOnly="1" outline="0" fieldPosition="0">
        <references count="3">
          <reference field="1" count="1" selected="0">
            <x v="249"/>
          </reference>
          <reference field="7" count="1" selected="0">
            <x v="5"/>
          </reference>
          <reference field="8" count="1">
            <x v="158"/>
          </reference>
        </references>
      </pivotArea>
    </format>
    <format dxfId="896">
      <pivotArea dataOnly="0" labelOnly="1" outline="0" fieldPosition="0">
        <references count="3">
          <reference field="1" count="1" selected="0">
            <x v="253"/>
          </reference>
          <reference field="7" count="1" selected="0">
            <x v="5"/>
          </reference>
          <reference field="8" count="1">
            <x v="56"/>
          </reference>
        </references>
      </pivotArea>
    </format>
    <format dxfId="895">
      <pivotArea dataOnly="0" labelOnly="1" outline="0" fieldPosition="0">
        <references count="3">
          <reference field="1" count="1" selected="0">
            <x v="254"/>
          </reference>
          <reference field="7" count="1" selected="0">
            <x v="5"/>
          </reference>
          <reference field="8" count="1">
            <x v="75"/>
          </reference>
        </references>
      </pivotArea>
    </format>
    <format dxfId="894">
      <pivotArea dataOnly="0" labelOnly="1" outline="0" fieldPosition="0">
        <references count="3">
          <reference field="1" count="1" selected="0">
            <x v="255"/>
          </reference>
          <reference field="7" count="1" selected="0">
            <x v="5"/>
          </reference>
          <reference field="8" count="1">
            <x v="105"/>
          </reference>
        </references>
      </pivotArea>
    </format>
    <format dxfId="893">
      <pivotArea dataOnly="0" labelOnly="1" outline="0" fieldPosition="0">
        <references count="3">
          <reference field="1" count="1" selected="0">
            <x v="256"/>
          </reference>
          <reference field="7" count="1" selected="0">
            <x v="5"/>
          </reference>
          <reference field="8" count="1">
            <x v="106"/>
          </reference>
        </references>
      </pivotArea>
    </format>
    <format dxfId="892">
      <pivotArea dataOnly="0" labelOnly="1" outline="0" fieldPosition="0">
        <references count="3">
          <reference field="1" count="1" selected="0">
            <x v="263"/>
          </reference>
          <reference field="7" count="1" selected="0">
            <x v="5"/>
          </reference>
          <reference field="8" count="1">
            <x v="158"/>
          </reference>
        </references>
      </pivotArea>
    </format>
    <format dxfId="891">
      <pivotArea dataOnly="0" labelOnly="1" outline="0" fieldPosition="0">
        <references count="3">
          <reference field="1" count="1" selected="0">
            <x v="31"/>
          </reference>
          <reference field="7" count="1" selected="0">
            <x v="6"/>
          </reference>
          <reference field="8" count="1">
            <x v="0"/>
          </reference>
        </references>
      </pivotArea>
    </format>
    <format dxfId="890">
      <pivotArea dataOnly="0" labelOnly="1" outline="0" fieldPosition="0">
        <references count="3">
          <reference field="1" count="1" selected="0">
            <x v="32"/>
          </reference>
          <reference field="7" count="1" selected="0">
            <x v="6"/>
          </reference>
          <reference field="8" count="1">
            <x v="49"/>
          </reference>
        </references>
      </pivotArea>
    </format>
    <format dxfId="889">
      <pivotArea dataOnly="0" labelOnly="1" outline="0" fieldPosition="0">
        <references count="3">
          <reference field="1" count="1" selected="0">
            <x v="33"/>
          </reference>
          <reference field="7" count="1" selected="0">
            <x v="6"/>
          </reference>
          <reference field="8" count="1">
            <x v="158"/>
          </reference>
        </references>
      </pivotArea>
    </format>
    <format dxfId="888">
      <pivotArea dataOnly="0" labelOnly="1" outline="0" fieldPosition="0">
        <references count="3">
          <reference field="1" count="1" selected="0">
            <x v="49"/>
          </reference>
          <reference field="7" count="1" selected="0">
            <x v="6"/>
          </reference>
          <reference field="8" count="1">
            <x v="91"/>
          </reference>
        </references>
      </pivotArea>
    </format>
    <format dxfId="887">
      <pivotArea dataOnly="0" labelOnly="1" outline="0" fieldPosition="0">
        <references count="3">
          <reference field="1" count="1" selected="0">
            <x v="83"/>
          </reference>
          <reference field="7" count="1" selected="0">
            <x v="6"/>
          </reference>
          <reference field="8" count="1">
            <x v="3"/>
          </reference>
        </references>
      </pivotArea>
    </format>
    <format dxfId="886">
      <pivotArea dataOnly="0" labelOnly="1" outline="0" fieldPosition="0">
        <references count="3">
          <reference field="1" count="1" selected="0">
            <x v="101"/>
          </reference>
          <reference field="7" count="1" selected="0">
            <x v="6"/>
          </reference>
          <reference field="8" count="1">
            <x v="54"/>
          </reference>
        </references>
      </pivotArea>
    </format>
    <format dxfId="885">
      <pivotArea dataOnly="0" labelOnly="1" outline="0" fieldPosition="0">
        <references count="3">
          <reference field="1" count="1" selected="0">
            <x v="102"/>
          </reference>
          <reference field="7" count="1" selected="0">
            <x v="6"/>
          </reference>
          <reference field="8" count="1">
            <x v="67"/>
          </reference>
        </references>
      </pivotArea>
    </format>
    <format dxfId="884">
      <pivotArea dataOnly="0" labelOnly="1" outline="0" fieldPosition="0">
        <references count="3">
          <reference field="1" count="1" selected="0">
            <x v="119"/>
          </reference>
          <reference field="7" count="1" selected="0">
            <x v="6"/>
          </reference>
          <reference field="8" count="1">
            <x v="99"/>
          </reference>
        </references>
      </pivotArea>
    </format>
    <format dxfId="883">
      <pivotArea dataOnly="0" labelOnly="1" outline="0" fieldPosition="0">
        <references count="3">
          <reference field="1" count="1" selected="0">
            <x v="120"/>
          </reference>
          <reference field="7" count="1" selected="0">
            <x v="6"/>
          </reference>
          <reference field="8" count="1">
            <x v="158"/>
          </reference>
        </references>
      </pivotArea>
    </format>
    <format dxfId="882">
      <pivotArea dataOnly="0" labelOnly="1" outline="0" fieldPosition="0">
        <references count="3">
          <reference field="1" count="1" selected="0">
            <x v="209"/>
          </reference>
          <reference field="7" count="1" selected="0">
            <x v="6"/>
          </reference>
          <reference field="8" count="1">
            <x v="68"/>
          </reference>
        </references>
      </pivotArea>
    </format>
    <format dxfId="881">
      <pivotArea dataOnly="0" labelOnly="1" outline="0" fieldPosition="0">
        <references count="3">
          <reference field="1" count="1" selected="0">
            <x v="212"/>
          </reference>
          <reference field="7" count="1" selected="0">
            <x v="6"/>
          </reference>
          <reference field="8" count="1">
            <x v="154"/>
          </reference>
        </references>
      </pivotArea>
    </format>
    <format dxfId="880">
      <pivotArea dataOnly="0" labelOnly="1" outline="0" fieldPosition="0">
        <references count="3">
          <reference field="1" count="1" selected="0">
            <x v="213"/>
          </reference>
          <reference field="7" count="1" selected="0">
            <x v="6"/>
          </reference>
          <reference field="8" count="1">
            <x v="153"/>
          </reference>
        </references>
      </pivotArea>
    </format>
    <format dxfId="879">
      <pivotArea dataOnly="0" labelOnly="1" outline="0" fieldPosition="0">
        <references count="3">
          <reference field="1" count="1" selected="0">
            <x v="215"/>
          </reference>
          <reference field="7" count="1" selected="0">
            <x v="6"/>
          </reference>
          <reference field="8" count="1">
            <x v="158"/>
          </reference>
        </references>
      </pivotArea>
    </format>
    <format dxfId="878">
      <pivotArea dataOnly="0" labelOnly="1" outline="0" fieldPosition="0">
        <references count="3">
          <reference field="1" count="1" selected="0">
            <x v="243"/>
          </reference>
          <reference field="7" count="1" selected="0">
            <x v="6"/>
          </reference>
          <reference field="8" count="1">
            <x v="93"/>
          </reference>
        </references>
      </pivotArea>
    </format>
    <format dxfId="877">
      <pivotArea dataOnly="0" labelOnly="1" outline="0" fieldPosition="0">
        <references count="3">
          <reference field="1" count="1" selected="0">
            <x v="244"/>
          </reference>
          <reference field="7" count="1" selected="0">
            <x v="6"/>
          </reference>
          <reference field="8" count="1">
            <x v="94"/>
          </reference>
        </references>
      </pivotArea>
    </format>
    <format dxfId="876">
      <pivotArea dataOnly="0" labelOnly="1" outline="0" fieldPosition="0">
        <references count="3">
          <reference field="1" count="1" selected="0">
            <x v="258"/>
          </reference>
          <reference field="7" count="1" selected="0">
            <x v="6"/>
          </reference>
          <reference field="8" count="1">
            <x v="158"/>
          </reference>
        </references>
      </pivotArea>
    </format>
    <format dxfId="875">
      <pivotArea dataOnly="0" labelOnly="1" outline="0" fieldPosition="0">
        <references count="3">
          <reference field="1" count="1" selected="0">
            <x v="260"/>
          </reference>
          <reference field="7" count="1" selected="0">
            <x v="6"/>
          </reference>
          <reference field="8" count="1">
            <x v="21"/>
          </reference>
        </references>
      </pivotArea>
    </format>
    <format dxfId="874">
      <pivotArea dataOnly="0" labelOnly="1" outline="0" fieldPosition="0">
        <references count="3">
          <reference field="1" count="1" selected="0">
            <x v="262"/>
          </reference>
          <reference field="7" count="1" selected="0">
            <x v="6"/>
          </reference>
          <reference field="8" count="1">
            <x v="158"/>
          </reference>
        </references>
      </pivotArea>
    </format>
    <format dxfId="873">
      <pivotArea dataOnly="0" labelOnly="1" outline="0" fieldPosition="0">
        <references count="3">
          <reference field="1" count="1" selected="0">
            <x v="59"/>
          </reference>
          <reference field="7" count="1" selected="0">
            <x v="7"/>
          </reference>
          <reference field="8" count="1">
            <x v="120"/>
          </reference>
        </references>
      </pivotArea>
    </format>
    <format dxfId="872">
      <pivotArea dataOnly="0" labelOnly="1" outline="0" fieldPosition="0">
        <references count="3">
          <reference field="1" count="1" selected="0">
            <x v="62"/>
          </reference>
          <reference field="7" count="1" selected="0">
            <x v="7"/>
          </reference>
          <reference field="8" count="1">
            <x v="123"/>
          </reference>
        </references>
      </pivotArea>
    </format>
    <format dxfId="871">
      <pivotArea dataOnly="0" labelOnly="1" outline="0" fieldPosition="0">
        <references count="3">
          <reference field="1" count="1" selected="0">
            <x v="63"/>
          </reference>
          <reference field="7" count="1" selected="0">
            <x v="7"/>
          </reference>
          <reference field="8" count="1">
            <x v="124"/>
          </reference>
        </references>
      </pivotArea>
    </format>
    <format dxfId="870">
      <pivotArea dataOnly="0" labelOnly="1" outline="0" fieldPosition="0">
        <references count="3">
          <reference field="1" count="1" selected="0">
            <x v="71"/>
          </reference>
          <reference field="7" count="1" selected="0">
            <x v="7"/>
          </reference>
          <reference field="8" count="1">
            <x v="125"/>
          </reference>
        </references>
      </pivotArea>
    </format>
    <format dxfId="869">
      <pivotArea dataOnly="0" labelOnly="1" outline="0" fieldPosition="0">
        <references count="3">
          <reference field="1" count="1" selected="0">
            <x v="72"/>
          </reference>
          <reference field="7" count="1" selected="0">
            <x v="7"/>
          </reference>
          <reference field="8" count="1">
            <x v="126"/>
          </reference>
        </references>
      </pivotArea>
    </format>
    <format dxfId="868">
      <pivotArea dataOnly="0" labelOnly="1" outline="0" fieldPosition="0">
        <references count="3">
          <reference field="1" count="1" selected="0">
            <x v="74"/>
          </reference>
          <reference field="7" count="1" selected="0">
            <x v="7"/>
          </reference>
          <reference field="8" count="1">
            <x v="128"/>
          </reference>
        </references>
      </pivotArea>
    </format>
    <format dxfId="867">
      <pivotArea dataOnly="0" labelOnly="1" outline="0" fieldPosition="0">
        <references count="3">
          <reference field="1" count="1" selected="0">
            <x v="75"/>
          </reference>
          <reference field="7" count="1" selected="0">
            <x v="7"/>
          </reference>
          <reference field="8" count="1">
            <x v="129"/>
          </reference>
        </references>
      </pivotArea>
    </format>
    <format dxfId="866">
      <pivotArea dataOnly="0" labelOnly="1" outline="0" fieldPosition="0">
        <references count="3">
          <reference field="1" count="1" selected="0">
            <x v="149"/>
          </reference>
          <reference field="7" count="1" selected="0">
            <x v="7"/>
          </reference>
          <reference field="8" count="1">
            <x v="158"/>
          </reference>
        </references>
      </pivotArea>
    </format>
    <format dxfId="865">
      <pivotArea dataOnly="0" labelOnly="1" outline="0" fieldPosition="0">
        <references count="3">
          <reference field="1" count="1" selected="0">
            <x v="164"/>
          </reference>
          <reference field="7" count="1" selected="0">
            <x v="7"/>
          </reference>
          <reference field="8" count="1">
            <x v="47"/>
          </reference>
        </references>
      </pivotArea>
    </format>
    <format dxfId="864">
      <pivotArea dataOnly="0" labelOnly="1" outline="0" fieldPosition="0">
        <references count="3">
          <reference field="1" count="1" selected="0">
            <x v="188"/>
          </reference>
          <reference field="7" count="1" selected="0">
            <x v="7"/>
          </reference>
          <reference field="8" count="1">
            <x v="115"/>
          </reference>
        </references>
      </pivotArea>
    </format>
    <format dxfId="863">
      <pivotArea dataOnly="0" labelOnly="1" outline="0" fieldPosition="0">
        <references count="3">
          <reference field="1" count="1" selected="0">
            <x v="64"/>
          </reference>
          <reference field="7" count="1" selected="0">
            <x v="8"/>
          </reference>
          <reference field="8" count="1">
            <x v="83"/>
          </reference>
        </references>
      </pivotArea>
    </format>
    <format dxfId="862">
      <pivotArea dataOnly="0" labelOnly="1" outline="0" fieldPosition="0">
        <references count="3">
          <reference field="1" count="1" selected="0">
            <x v="183"/>
          </reference>
          <reference field="7" count="1" selected="0">
            <x v="8"/>
          </reference>
          <reference field="8" count="1">
            <x v="74"/>
          </reference>
        </references>
      </pivotArea>
    </format>
    <format dxfId="861">
      <pivotArea dataOnly="0" labelOnly="1" outline="0" fieldPosition="0">
        <references count="3">
          <reference field="1" count="1" selected="0">
            <x v="54"/>
          </reference>
          <reference field="7" count="1" selected="0">
            <x v="9"/>
          </reference>
          <reference field="8" count="1">
            <x v="158"/>
          </reference>
        </references>
      </pivotArea>
    </format>
    <format dxfId="860">
      <pivotArea dataOnly="0" labelOnly="1" outline="0" fieldPosition="0">
        <references count="3">
          <reference field="1" count="1" selected="0">
            <x v="104"/>
          </reference>
          <reference field="7" count="1" selected="0">
            <x v="9"/>
          </reference>
          <reference field="8" count="1">
            <x v="43"/>
          </reference>
        </references>
      </pivotArea>
    </format>
    <format dxfId="859">
      <pivotArea dataOnly="0" labelOnly="1" outline="0" fieldPosition="0">
        <references count="3">
          <reference field="1" count="1" selected="0">
            <x v="223"/>
          </reference>
          <reference field="7" count="1" selected="0">
            <x v="9"/>
          </reference>
          <reference field="8" count="1">
            <x v="36"/>
          </reference>
        </references>
      </pivotArea>
    </format>
    <format dxfId="858">
      <pivotArea dataOnly="0" labelOnly="1" outline="0" fieldPosition="0">
        <references count="3">
          <reference field="1" count="1" selected="0">
            <x v="225"/>
          </reference>
          <reference field="7" count="1" selected="0">
            <x v="9"/>
          </reference>
          <reference field="8" count="1">
            <x v="158"/>
          </reference>
        </references>
      </pivotArea>
    </format>
    <format dxfId="857">
      <pivotArea dataOnly="0" labelOnly="1" outline="0" fieldPosition="0">
        <references count="3">
          <reference field="1" count="1" selected="0">
            <x v="234"/>
          </reference>
          <reference field="7" count="1" selected="0">
            <x v="9"/>
          </reference>
          <reference field="8" count="1">
            <x v="16"/>
          </reference>
        </references>
      </pivotArea>
    </format>
    <format dxfId="856">
      <pivotArea dataOnly="0" labelOnly="1" outline="0" fieldPosition="0">
        <references count="3">
          <reference field="1" count="1" selected="0">
            <x v="237"/>
          </reference>
          <reference field="7" count="1" selected="0">
            <x v="9"/>
          </reference>
          <reference field="8" count="1">
            <x v="44"/>
          </reference>
        </references>
      </pivotArea>
    </format>
    <format dxfId="855">
      <pivotArea dataOnly="0" labelOnly="1" outline="0" fieldPosition="0">
        <references count="3">
          <reference field="1" count="1" selected="0">
            <x v="261"/>
          </reference>
          <reference field="7" count="1" selected="0">
            <x v="9"/>
          </reference>
          <reference field="8" count="1">
            <x v="158"/>
          </reference>
        </references>
      </pivotArea>
    </format>
    <format dxfId="854">
      <pivotArea dataOnly="0" labelOnly="1" outline="0" fieldPosition="0">
        <references count="3">
          <reference field="1" count="1" selected="0">
            <x v="45"/>
          </reference>
          <reference field="7" count="1" selected="0">
            <x v="10"/>
          </reference>
          <reference field="8" count="1">
            <x v="118"/>
          </reference>
        </references>
      </pivotArea>
    </format>
    <format dxfId="853">
      <pivotArea dataOnly="0" labelOnly="1" outline="0" fieldPosition="0">
        <references count="3">
          <reference field="1" count="1" selected="0">
            <x v="61"/>
          </reference>
          <reference field="7" count="1" selected="0">
            <x v="10"/>
          </reference>
          <reference field="8" count="1">
            <x v="122"/>
          </reference>
        </references>
      </pivotArea>
    </format>
    <format dxfId="852">
      <pivotArea dataOnly="0" labelOnly="1" outline="0" fieldPosition="0">
        <references count="3">
          <reference field="1" count="1" selected="0">
            <x v="86"/>
          </reference>
          <reference field="7" count="1" selected="0">
            <x v="10"/>
          </reference>
          <reference field="8" count="1">
            <x v="119"/>
          </reference>
        </references>
      </pivotArea>
    </format>
    <format dxfId="851">
      <pivotArea dataOnly="0" labelOnly="1" outline="0" fieldPosition="0">
        <references count="3">
          <reference field="1" count="1" selected="0">
            <x v="98"/>
          </reference>
          <reference field="7" count="1" selected="0">
            <x v="10"/>
          </reference>
          <reference field="8" count="1">
            <x v="134"/>
          </reference>
        </references>
      </pivotArea>
    </format>
    <format dxfId="850">
      <pivotArea dataOnly="0" labelOnly="1" outline="0" fieldPosition="0">
        <references count="3">
          <reference field="1" count="1" selected="0">
            <x v="155"/>
          </reference>
          <reference field="7" count="1" selected="0">
            <x v="10"/>
          </reference>
          <reference field="8" count="1">
            <x v="158"/>
          </reference>
        </references>
      </pivotArea>
    </format>
    <format dxfId="849">
      <pivotArea dataOnly="0" labelOnly="1" outline="0" fieldPosition="0">
        <references count="3">
          <reference field="1" count="1" selected="0">
            <x v="239"/>
          </reference>
          <reference field="7" count="1" selected="0">
            <x v="10"/>
          </reference>
          <reference field="8" count="1">
            <x v="117"/>
          </reference>
        </references>
      </pivotArea>
    </format>
    <format dxfId="848">
      <pivotArea dataOnly="0" labelOnly="1" outline="0" fieldPosition="0">
        <references count="3">
          <reference field="1" count="1" selected="0">
            <x v="165"/>
          </reference>
          <reference field="7" count="1" selected="0">
            <x v="11"/>
          </reference>
          <reference field="8" count="1">
            <x v="155"/>
          </reference>
        </references>
      </pivotArea>
    </format>
    <format dxfId="847">
      <pivotArea dataOnly="0" labelOnly="1" outline="0" fieldPosition="0">
        <references count="3">
          <reference field="1" count="1" selected="0">
            <x v="167"/>
          </reference>
          <reference field="7" count="1" selected="0">
            <x v="11"/>
          </reference>
          <reference field="8" count="1">
            <x v="82"/>
          </reference>
        </references>
      </pivotArea>
    </format>
    <format dxfId="846">
      <pivotArea dataOnly="0" labelOnly="1" outline="0" fieldPosition="0">
        <references count="3">
          <reference field="1" count="1" selected="0">
            <x v="168"/>
          </reference>
          <reference field="7" count="1" selected="0">
            <x v="11"/>
          </reference>
          <reference field="8" count="1">
            <x v="158"/>
          </reference>
        </references>
      </pivotArea>
    </format>
    <format dxfId="845">
      <pivotArea dataOnly="0" labelOnly="1" outline="0" fieldPosition="0">
        <references count="3">
          <reference field="1" count="1" selected="0">
            <x v="169"/>
          </reference>
          <reference field="7" count="1" selected="0">
            <x v="11"/>
          </reference>
          <reference field="8" count="1">
            <x v="157"/>
          </reference>
        </references>
      </pivotArea>
    </format>
    <format dxfId="844">
      <pivotArea dataOnly="0" labelOnly="1" outline="0" fieldPosition="0">
        <references count="3">
          <reference field="1" count="1" selected="0">
            <x v="170"/>
          </reference>
          <reference field="7" count="1" selected="0">
            <x v="11"/>
          </reference>
          <reference field="8" count="1">
            <x v="156"/>
          </reference>
        </references>
      </pivotArea>
    </format>
    <format dxfId="843">
      <pivotArea dataOnly="0" labelOnly="1" outline="0" fieldPosition="0">
        <references count="3">
          <reference field="1" count="1" selected="0">
            <x v="171"/>
          </reference>
          <reference field="7" count="1" selected="0">
            <x v="11"/>
          </reference>
          <reference field="8" count="1">
            <x v="158"/>
          </reference>
        </references>
      </pivotArea>
    </format>
    <format dxfId="842">
      <pivotArea dataOnly="0" labelOnly="1" outline="0" fieldPosition="0">
        <references count="3">
          <reference field="1" count="1" selected="0">
            <x v="172"/>
          </reference>
          <reference field="7" count="1" selected="0">
            <x v="11"/>
          </reference>
          <reference field="8" count="1">
            <x v="81"/>
          </reference>
        </references>
      </pivotArea>
    </format>
    <format dxfId="841">
      <pivotArea dataOnly="0" labelOnly="1" outline="0" fieldPosition="0">
        <references count="3">
          <reference field="1" count="1" selected="0">
            <x v="204"/>
          </reference>
          <reference field="7" count="1" selected="0">
            <x v="11"/>
          </reference>
          <reference field="8" count="1">
            <x v="158"/>
          </reference>
        </references>
      </pivotArea>
    </format>
    <format dxfId="840">
      <pivotArea dataOnly="0" labelOnly="1" outline="0" fieldPosition="0">
        <references count="3">
          <reference field="1" count="1" selected="0">
            <x v="84"/>
          </reference>
          <reference field="7" count="1" selected="0">
            <x v="12"/>
          </reference>
          <reference field="8" count="1">
            <x v="132"/>
          </reference>
        </references>
      </pivotArea>
    </format>
    <format dxfId="839">
      <pivotArea dataOnly="0" labelOnly="1" outline="0" fieldPosition="0">
        <references count="3">
          <reference field="1" count="1" selected="0">
            <x v="184"/>
          </reference>
          <reference field="7" count="1" selected="0">
            <x v="12"/>
          </reference>
          <reference field="8" count="1">
            <x v="112"/>
          </reference>
        </references>
      </pivotArea>
    </format>
    <format dxfId="838">
      <pivotArea dataOnly="0" labelOnly="1" outline="0" fieldPosition="0">
        <references count="3">
          <reference field="1" count="1" selected="0">
            <x v="185"/>
          </reference>
          <reference field="7" count="1" selected="0">
            <x v="12"/>
          </reference>
          <reference field="8" count="1">
            <x v="114"/>
          </reference>
        </references>
      </pivotArea>
    </format>
    <format dxfId="837">
      <pivotArea dataOnly="0" labelOnly="1" outline="0" fieldPosition="0">
        <references count="3">
          <reference field="1" count="1" selected="0">
            <x v="95"/>
          </reference>
          <reference field="7" count="1" selected="0">
            <x v="13"/>
          </reference>
          <reference field="8" count="1">
            <x v="38"/>
          </reference>
        </references>
      </pivotArea>
    </format>
    <format dxfId="836">
      <pivotArea dataOnly="0" labelOnly="1" outline="0" fieldPosition="0">
        <references count="3">
          <reference field="1" count="1" selected="0">
            <x v="96"/>
          </reference>
          <reference field="7" count="1" selected="0">
            <x v="13"/>
          </reference>
          <reference field="8" count="1">
            <x v="88"/>
          </reference>
        </references>
      </pivotArea>
    </format>
    <format dxfId="835">
      <pivotArea dataOnly="0" labelOnly="1" outline="0" fieldPosition="0">
        <references count="3">
          <reference field="1" count="1" selected="0">
            <x v="97"/>
          </reference>
          <reference field="7" count="1" selected="0">
            <x v="13"/>
          </reference>
          <reference field="8" count="1">
            <x v="63"/>
          </reference>
        </references>
      </pivotArea>
    </format>
    <format dxfId="834">
      <pivotArea dataOnly="0" labelOnly="1" outline="0" fieldPosition="0">
        <references count="3">
          <reference field="1" count="1" selected="0">
            <x v="238"/>
          </reference>
          <reference field="7" count="1" selected="0">
            <x v="13"/>
          </reference>
          <reference field="8" count="1">
            <x v="10"/>
          </reference>
        </references>
      </pivotArea>
    </format>
    <format dxfId="833">
      <pivotArea dataOnly="0" labelOnly="1" outline="0" fieldPosition="0">
        <references count="3">
          <reference field="1" count="1" selected="0">
            <x v="40"/>
          </reference>
          <reference field="7" count="1" selected="0">
            <x v="14"/>
          </reference>
          <reference field="8" count="1">
            <x v="1"/>
          </reference>
        </references>
      </pivotArea>
    </format>
    <format dxfId="832">
      <pivotArea dataOnly="0" labelOnly="1" outline="0" fieldPosition="0">
        <references count="3">
          <reference field="1" count="1" selected="0">
            <x v="203"/>
          </reference>
          <reference field="7" count="1" selected="0">
            <x v="14"/>
          </reference>
          <reference field="8" count="1">
            <x v="15"/>
          </reference>
        </references>
      </pivotArea>
    </format>
    <format dxfId="831">
      <pivotArea dataOnly="0" labelOnly="1" outline="0" fieldPosition="0">
        <references count="3">
          <reference field="1" count="1" selected="0">
            <x v="246"/>
          </reference>
          <reference field="7" count="1" selected="0">
            <x v="14"/>
          </reference>
          <reference field="8" count="1">
            <x v="109"/>
          </reference>
        </references>
      </pivotArea>
    </format>
    <format dxfId="830">
      <pivotArea dataOnly="0" labelOnly="1" outline="0" fieldPosition="0">
        <references count="3">
          <reference field="1" count="1" selected="0">
            <x v="88"/>
          </reference>
          <reference field="7" count="1" selected="0">
            <x v="15"/>
          </reference>
          <reference field="8" count="1">
            <x v="57"/>
          </reference>
        </references>
      </pivotArea>
    </format>
    <format dxfId="829">
      <pivotArea dataOnly="0" labelOnly="1" outline="0" fieldPosition="0">
        <references count="3">
          <reference field="1" count="1" selected="0">
            <x v="89"/>
          </reference>
          <reference field="7" count="1" selected="0">
            <x v="15"/>
          </reference>
          <reference field="8" count="1">
            <x v="86"/>
          </reference>
        </references>
      </pivotArea>
    </format>
    <format dxfId="828">
      <pivotArea dataOnly="0" labelOnly="1" outline="0" fieldPosition="0">
        <references count="3">
          <reference field="1" count="1" selected="0">
            <x v="91"/>
          </reference>
          <reference field="7" count="1" selected="0">
            <x v="15"/>
          </reference>
          <reference field="8" count="1">
            <x v="158"/>
          </reference>
        </references>
      </pivotArea>
    </format>
    <format dxfId="827">
      <pivotArea dataOnly="0" labelOnly="1" outline="0" fieldPosition="0">
        <references count="3">
          <reference field="1" count="1" selected="0">
            <x v="100"/>
          </reference>
          <reference field="7" count="1" selected="0">
            <x v="15"/>
          </reference>
          <reference field="8" count="1">
            <x v="37"/>
          </reference>
        </references>
      </pivotArea>
    </format>
    <format dxfId="826">
      <pivotArea dataOnly="0" labelOnly="1" outline="0" fieldPosition="0">
        <references count="3">
          <reference field="1" count="1" selected="0">
            <x v="125"/>
          </reference>
          <reference field="7" count="1" selected="0">
            <x v="15"/>
          </reference>
          <reference field="8" count="1">
            <x v="103"/>
          </reference>
        </references>
      </pivotArea>
    </format>
    <format dxfId="825">
      <pivotArea dataOnly="0" labelOnly="1" outline="0" fieldPosition="0">
        <references count="3">
          <reference field="1" count="1" selected="0">
            <x v="126"/>
          </reference>
          <reference field="7" count="1" selected="0">
            <x v="15"/>
          </reference>
          <reference field="8" count="1">
            <x v="107"/>
          </reference>
        </references>
      </pivotArea>
    </format>
    <format dxfId="824">
      <pivotArea dataOnly="0" labelOnly="1" outline="0" fieldPosition="0">
        <references count="3">
          <reference field="1" count="1" selected="0">
            <x v="257"/>
          </reference>
          <reference field="7" count="1" selected="0">
            <x v="15"/>
          </reference>
          <reference field="8" count="1">
            <x v="12"/>
          </reference>
        </references>
      </pivotArea>
    </format>
    <format dxfId="823">
      <pivotArea dataOnly="0" labelOnly="1" outline="0" fieldPosition="0">
        <references count="3">
          <reference field="1" count="1" selected="0">
            <x v="265"/>
          </reference>
          <reference field="7" count="1" selected="0">
            <x v="15"/>
          </reference>
          <reference field="8" count="1">
            <x v="104"/>
          </reference>
        </references>
      </pivotArea>
    </format>
    <format dxfId="822">
      <pivotArea dataOnly="0" labelOnly="1" outline="0" fieldPosition="0">
        <references count="3">
          <reference field="1" count="1" selected="0">
            <x v="266"/>
          </reference>
          <reference field="7" count="1" selected="0">
            <x v="15"/>
          </reference>
          <reference field="8" count="1">
            <x v="89"/>
          </reference>
        </references>
      </pivotArea>
    </format>
    <format dxfId="821">
      <pivotArea dataOnly="0" labelOnly="1" outline="0" fieldPosition="0">
        <references count="3">
          <reference field="1" count="1" selected="0">
            <x v="267"/>
          </reference>
          <reference field="7" count="1" selected="0">
            <x v="15"/>
          </reference>
          <reference field="8" count="1">
            <x v="139"/>
          </reference>
        </references>
      </pivotArea>
    </format>
    <format dxfId="820">
      <pivotArea dataOnly="0" labelOnly="1" outline="0" fieldPosition="0">
        <references count="3">
          <reference field="1" count="1" selected="0">
            <x v="268"/>
          </reference>
          <reference field="7" count="1" selected="0">
            <x v="15"/>
          </reference>
          <reference field="8" count="1">
            <x v="140"/>
          </reference>
        </references>
      </pivotArea>
    </format>
    <format dxfId="819">
      <pivotArea dataOnly="0" labelOnly="1" outline="0" fieldPosition="0">
        <references count="3">
          <reference field="1" count="1" selected="0">
            <x v="6"/>
          </reference>
          <reference field="7" count="1" selected="0">
            <x v="16"/>
          </reference>
          <reference field="8" count="1">
            <x v="111"/>
          </reference>
        </references>
      </pivotArea>
    </format>
    <format dxfId="818">
      <pivotArea dataOnly="0" labelOnly="1" outline="0" fieldPosition="0">
        <references count="3">
          <reference field="1" count="1" selected="0">
            <x v="7"/>
          </reference>
          <reference field="7" count="1" selected="0">
            <x v="16"/>
          </reference>
          <reference field="8" count="1">
            <x v="158"/>
          </reference>
        </references>
      </pivotArea>
    </format>
    <format dxfId="817">
      <pivotArea dataOnly="0" labelOnly="1" outline="0" fieldPosition="0">
        <references count="3">
          <reference field="1" count="1" selected="0">
            <x v="8"/>
          </reference>
          <reference field="7" count="1" selected="0">
            <x v="16"/>
          </reference>
          <reference field="8" count="1">
            <x v="111"/>
          </reference>
        </references>
      </pivotArea>
    </format>
    <format dxfId="816">
      <pivotArea dataOnly="0" labelOnly="1" outline="0" fieldPosition="0">
        <references count="3">
          <reference field="1" count="1" selected="0">
            <x v="9"/>
          </reference>
          <reference field="7" count="1" selected="0">
            <x v="16"/>
          </reference>
          <reference field="8" count="1">
            <x v="158"/>
          </reference>
        </references>
      </pivotArea>
    </format>
    <format dxfId="815">
      <pivotArea dataOnly="0" labelOnly="1" outline="0" fieldPosition="0">
        <references count="3">
          <reference field="1" count="1" selected="0">
            <x v="19"/>
          </reference>
          <reference field="7" count="1" selected="0">
            <x v="16"/>
          </reference>
          <reference field="8" count="1">
            <x v="111"/>
          </reference>
        </references>
      </pivotArea>
    </format>
    <format dxfId="814">
      <pivotArea dataOnly="0" labelOnly="1" outline="0" fieldPosition="0">
        <references count="3">
          <reference field="1" count="1" selected="0">
            <x v="20"/>
          </reference>
          <reference field="7" count="1" selected="0">
            <x v="16"/>
          </reference>
          <reference field="8" count="1">
            <x v="158"/>
          </reference>
        </references>
      </pivotArea>
    </format>
    <format dxfId="813">
      <pivotArea dataOnly="0" labelOnly="1" outline="0" fieldPosition="0">
        <references count="3">
          <reference field="1" count="1" selected="0">
            <x v="30"/>
          </reference>
          <reference field="7" count="1" selected="0">
            <x v="16"/>
          </reference>
          <reference field="8" count="1">
            <x v="111"/>
          </reference>
        </references>
      </pivotArea>
    </format>
    <format dxfId="812">
      <pivotArea dataOnly="0" labelOnly="1" outline="0" fieldPosition="0">
        <references count="3">
          <reference field="1" count="1" selected="0">
            <x v="39"/>
          </reference>
          <reference field="7" count="1" selected="0">
            <x v="16"/>
          </reference>
          <reference field="8" count="1">
            <x v="158"/>
          </reference>
        </references>
      </pivotArea>
    </format>
    <format dxfId="811">
      <pivotArea dataOnly="0" labelOnly="1" outline="0" fieldPosition="0">
        <references count="3">
          <reference field="1" count="1" selected="0">
            <x v="46"/>
          </reference>
          <reference field="7" count="1" selected="0">
            <x v="16"/>
          </reference>
          <reference field="8" count="1">
            <x v="111"/>
          </reference>
        </references>
      </pivotArea>
    </format>
    <format dxfId="810">
      <pivotArea dataOnly="0" labelOnly="1" outline="0" fieldPosition="0">
        <references count="3">
          <reference field="1" count="1" selected="0">
            <x v="51"/>
          </reference>
          <reference field="7" count="1" selected="0">
            <x v="16"/>
          </reference>
          <reference field="8" count="1">
            <x v="158"/>
          </reference>
        </references>
      </pivotArea>
    </format>
    <format dxfId="809">
      <pivotArea dataOnly="0" labelOnly="1" outline="0" fieldPosition="0">
        <references count="3">
          <reference field="1" count="1" selected="0">
            <x v="65"/>
          </reference>
          <reference field="7" count="1" selected="0">
            <x v="16"/>
          </reference>
          <reference field="8" count="1">
            <x v="111"/>
          </reference>
        </references>
      </pivotArea>
    </format>
    <format dxfId="808">
      <pivotArea dataOnly="0" labelOnly="1" outline="0" fieldPosition="0">
        <references count="3">
          <reference field="1" count="1" selected="0">
            <x v="66"/>
          </reference>
          <reference field="7" count="1" selected="0">
            <x v="16"/>
          </reference>
          <reference field="8" count="1">
            <x v="158"/>
          </reference>
        </references>
      </pivotArea>
    </format>
    <format dxfId="807">
      <pivotArea dataOnly="0" labelOnly="1" outline="0" fieldPosition="0">
        <references count="3">
          <reference field="1" count="1" selected="0">
            <x v="47"/>
          </reference>
          <reference field="7" count="1" selected="0">
            <x v="17"/>
          </reference>
          <reference field="8" count="1">
            <x v="32"/>
          </reference>
        </references>
      </pivotArea>
    </format>
    <format dxfId="806">
      <pivotArea dataOnly="0" labelOnly="1" outline="0" fieldPosition="0">
        <references count="3">
          <reference field="1" count="1" selected="0">
            <x v="48"/>
          </reference>
          <reference field="7" count="1" selected="0">
            <x v="17"/>
          </reference>
          <reference field="8" count="1">
            <x v="76"/>
          </reference>
        </references>
      </pivotArea>
    </format>
    <format dxfId="805">
      <pivotArea dataOnly="0" labelOnly="1" outline="0" fieldPosition="0">
        <references count="3">
          <reference field="1" count="1" selected="0">
            <x v="93"/>
          </reference>
          <reference field="7" count="1" selected="0">
            <x v="17"/>
          </reference>
          <reference field="8" count="1">
            <x v="2"/>
          </reference>
        </references>
      </pivotArea>
    </format>
    <format dxfId="804">
      <pivotArea dataOnly="0" labelOnly="1" outline="0" fieldPosition="0">
        <references count="3">
          <reference field="1" count="1" selected="0">
            <x v="94"/>
          </reference>
          <reference field="7" count="1" selected="0">
            <x v="17"/>
          </reference>
          <reference field="8" count="1">
            <x v="92"/>
          </reference>
        </references>
      </pivotArea>
    </format>
    <format dxfId="803">
      <pivotArea dataOnly="0" labelOnly="1" outline="0" fieldPosition="0">
        <references count="3">
          <reference field="1" count="1" selected="0">
            <x v="99"/>
          </reference>
          <reference field="7" count="1" selected="0">
            <x v="17"/>
          </reference>
          <reference field="8" count="1">
            <x v="26"/>
          </reference>
        </references>
      </pivotArea>
    </format>
    <format dxfId="802">
      <pivotArea dataOnly="0" labelOnly="1" outline="0" fieldPosition="0">
        <references count="3">
          <reference field="1" count="1" selected="0">
            <x v="118"/>
          </reference>
          <reference field="7" count="1" selected="0">
            <x v="17"/>
          </reference>
          <reference field="8" count="1">
            <x v="13"/>
          </reference>
        </references>
      </pivotArea>
    </format>
    <format dxfId="801">
      <pivotArea dataOnly="0" labelOnly="1" outline="0" fieldPosition="0">
        <references count="3">
          <reference field="1" count="1" selected="0">
            <x v="128"/>
          </reference>
          <reference field="7" count="1" selected="0">
            <x v="17"/>
          </reference>
          <reference field="8" count="1">
            <x v="97"/>
          </reference>
        </references>
      </pivotArea>
    </format>
    <format dxfId="800">
      <pivotArea dataOnly="0" labelOnly="1" outline="0" fieldPosition="0">
        <references count="3">
          <reference field="1" count="1" selected="0">
            <x v="133"/>
          </reference>
          <reference field="7" count="1" selected="0">
            <x v="17"/>
          </reference>
          <reference field="8" count="1">
            <x v="31"/>
          </reference>
        </references>
      </pivotArea>
    </format>
    <format dxfId="799">
      <pivotArea dataOnly="0" labelOnly="1" outline="0" fieldPosition="0">
        <references count="3">
          <reference field="1" count="1" selected="0">
            <x v="152"/>
          </reference>
          <reference field="7" count="1" selected="0">
            <x v="17"/>
          </reference>
          <reference field="8" count="1">
            <x v="78"/>
          </reference>
        </references>
      </pivotArea>
    </format>
    <format dxfId="798">
      <pivotArea dataOnly="0" labelOnly="1" outline="0" fieldPosition="0">
        <references count="3">
          <reference field="1" count="1" selected="0">
            <x v="153"/>
          </reference>
          <reference field="7" count="1" selected="0">
            <x v="17"/>
          </reference>
          <reference field="8" count="1">
            <x v="79"/>
          </reference>
        </references>
      </pivotArea>
    </format>
    <format dxfId="797">
      <pivotArea dataOnly="0" labelOnly="1" outline="0" fieldPosition="0">
        <references count="3">
          <reference field="1" count="1" selected="0">
            <x v="154"/>
          </reference>
          <reference field="7" count="1" selected="0">
            <x v="17"/>
          </reference>
          <reference field="8" count="1">
            <x v="27"/>
          </reference>
        </references>
      </pivotArea>
    </format>
    <format dxfId="796">
      <pivotArea dataOnly="0" labelOnly="1" outline="0" fieldPosition="0">
        <references count="3">
          <reference field="1" count="1" selected="0">
            <x v="158"/>
          </reference>
          <reference field="7" count="1" selected="0">
            <x v="17"/>
          </reference>
          <reference field="8" count="1">
            <x v="41"/>
          </reference>
        </references>
      </pivotArea>
    </format>
    <format dxfId="795">
      <pivotArea dataOnly="0" labelOnly="1" outline="0" fieldPosition="0">
        <references count="3">
          <reference field="1" count="1" selected="0">
            <x v="161"/>
          </reference>
          <reference field="7" count="1" selected="0">
            <x v="17"/>
          </reference>
          <reference field="8" count="1">
            <x v="60"/>
          </reference>
        </references>
      </pivotArea>
    </format>
    <format dxfId="794">
      <pivotArea dataOnly="0" labelOnly="1" outline="0" fieldPosition="0">
        <references count="3">
          <reference field="1" count="1" selected="0">
            <x v="174"/>
          </reference>
          <reference field="7" count="1" selected="0">
            <x v="17"/>
          </reference>
          <reference field="8" count="1">
            <x v="69"/>
          </reference>
        </references>
      </pivotArea>
    </format>
    <format dxfId="793">
      <pivotArea dataOnly="0" labelOnly="1" outline="0" fieldPosition="0">
        <references count="3">
          <reference field="1" count="1" selected="0">
            <x v="189"/>
          </reference>
          <reference field="7" count="1" selected="0">
            <x v="17"/>
          </reference>
          <reference field="8" count="1">
            <x v="8"/>
          </reference>
        </references>
      </pivotArea>
    </format>
    <format dxfId="792">
      <pivotArea dataOnly="0" labelOnly="1" outline="0" fieldPosition="0">
        <references count="3">
          <reference field="1" count="1" selected="0">
            <x v="205"/>
          </reference>
          <reference field="7" count="1" selected="0">
            <x v="17"/>
          </reference>
          <reference field="8" count="1">
            <x v="143"/>
          </reference>
        </references>
      </pivotArea>
    </format>
    <format dxfId="791">
      <pivotArea dataOnly="0" labelOnly="1" outline="0" fieldPosition="0">
        <references count="3">
          <reference field="1" count="1" selected="0">
            <x v="206"/>
          </reference>
          <reference field="7" count="1" selected="0">
            <x v="17"/>
          </reference>
          <reference field="8" count="1">
            <x v="62"/>
          </reference>
        </references>
      </pivotArea>
    </format>
    <format dxfId="790">
      <pivotArea dataOnly="0" labelOnly="1" outline="0" fieldPosition="0">
        <references count="3">
          <reference field="1" count="1" selected="0">
            <x v="207"/>
          </reference>
          <reference field="7" count="1" selected="0">
            <x v="17"/>
          </reference>
          <reference field="8" count="1">
            <x v="144"/>
          </reference>
        </references>
      </pivotArea>
    </format>
    <format dxfId="789">
      <pivotArea dataOnly="0" labelOnly="1" outline="0" fieldPosition="0">
        <references count="3">
          <reference field="1" count="1" selected="0">
            <x v="211"/>
          </reference>
          <reference field="7" count="1" selected="0">
            <x v="17"/>
          </reference>
          <reference field="8" count="1">
            <x v="7"/>
          </reference>
        </references>
      </pivotArea>
    </format>
    <format dxfId="788">
      <pivotArea dataOnly="0" labelOnly="1" outline="0" fieldPosition="0">
        <references count="3">
          <reference field="1" count="1" selected="0">
            <x v="214"/>
          </reference>
          <reference field="7" count="1" selected="0">
            <x v="17"/>
          </reference>
          <reference field="8" count="1">
            <x v="9"/>
          </reference>
        </references>
      </pivotArea>
    </format>
    <format dxfId="787">
      <pivotArea dataOnly="0" labelOnly="1" outline="0" fieldPosition="0">
        <references count="3">
          <reference field="1" count="1" selected="0">
            <x v="222"/>
          </reference>
          <reference field="7" count="1" selected="0">
            <x v="17"/>
          </reference>
          <reference field="8" count="1">
            <x v="25"/>
          </reference>
        </references>
      </pivotArea>
    </format>
    <format dxfId="786">
      <pivotArea dataOnly="0" labelOnly="1" outline="0" fieldPosition="0">
        <references count="3">
          <reference field="1" count="1" selected="0">
            <x v="230"/>
          </reference>
          <reference field="7" count="1" selected="0">
            <x v="17"/>
          </reference>
          <reference field="8" count="1">
            <x v="84"/>
          </reference>
        </references>
      </pivotArea>
    </format>
    <format dxfId="785">
      <pivotArea dataOnly="0" labelOnly="1" outline="0" fieldPosition="0">
        <references count="3">
          <reference field="1" count="1" selected="0">
            <x v="237"/>
          </reference>
          <reference field="7" count="1" selected="0">
            <x v="17"/>
          </reference>
          <reference field="8" count="1">
            <x v="110"/>
          </reference>
        </references>
      </pivotArea>
    </format>
    <format dxfId="784">
      <pivotArea dataOnly="0" labelOnly="1" outline="0" fieldPosition="0">
        <references count="3">
          <reference field="1" count="1" selected="0">
            <x v="250"/>
          </reference>
          <reference field="7" count="1" selected="0">
            <x v="17"/>
          </reference>
          <reference field="8" count="1">
            <x v="18"/>
          </reference>
        </references>
      </pivotArea>
    </format>
    <format dxfId="783">
      <pivotArea dataOnly="0" labelOnly="1" outline="0" fieldPosition="0">
        <references count="3">
          <reference field="1" count="1" selected="0">
            <x v="259"/>
          </reference>
          <reference field="7" count="1" selected="0">
            <x v="17"/>
          </reference>
          <reference field="8" count="1">
            <x v="20"/>
          </reference>
        </references>
      </pivotArea>
    </format>
    <format dxfId="782">
      <pivotArea dataOnly="0" labelOnly="1" outline="0" fieldPosition="0">
        <references count="3">
          <reference field="1" count="1" selected="0">
            <x v="264"/>
          </reference>
          <reference field="7" count="1" selected="0">
            <x v="17"/>
          </reference>
          <reference field="8" count="1">
            <x v="71"/>
          </reference>
        </references>
      </pivotArea>
    </format>
    <format dxfId="781">
      <pivotArea dataOnly="0" labelOnly="1" outline="0" fieldPosition="0">
        <references count="3">
          <reference field="1" count="1" selected="0">
            <x v="269"/>
          </reference>
          <reference field="7" count="1" selected="0">
            <x v="17"/>
          </reference>
          <reference field="8" count="1">
            <x v="30"/>
          </reference>
        </references>
      </pivotArea>
    </format>
    <format dxfId="780">
      <pivotArea dataOnly="0" labelOnly="1" outline="0" fieldPosition="0">
        <references count="3">
          <reference field="1" count="1" selected="0">
            <x v="270"/>
          </reference>
          <reference field="7" count="1" selected="0">
            <x v="17"/>
          </reference>
          <reference field="8" count="1">
            <x v="95"/>
          </reference>
        </references>
      </pivotArea>
    </format>
    <format dxfId="779">
      <pivotArea dataOnly="0" labelOnly="1" outline="0" fieldPosition="0">
        <references count="3">
          <reference field="1" count="1" selected="0">
            <x v="271"/>
          </reference>
          <reference field="7" count="1" selected="0">
            <x v="17"/>
          </reference>
          <reference field="8" count="1">
            <x v="29"/>
          </reference>
        </references>
      </pivotArea>
    </format>
    <format dxfId="778">
      <pivotArea dataOnly="0" labelOnly="1" outline="0" fieldPosition="0">
        <references count="3">
          <reference field="1" count="1" selected="0">
            <x v="76"/>
          </reference>
          <reference field="7" count="1" selected="0">
            <x v="18"/>
          </reference>
          <reference field="8" count="1">
            <x v="130"/>
          </reference>
        </references>
      </pivotArea>
    </format>
    <format dxfId="777">
      <pivotArea dataOnly="0" labelOnly="1" outline="0" fieldPosition="0">
        <references count="3">
          <reference field="1" count="1" selected="0">
            <x v="77"/>
          </reference>
          <reference field="7" count="1" selected="0">
            <x v="18"/>
          </reference>
          <reference field="8" count="1">
            <x v="131"/>
          </reference>
        </references>
      </pivotArea>
    </format>
    <format dxfId="776">
      <pivotArea dataOnly="0" labelOnly="1" outline="0" fieldPosition="0">
        <references count="3">
          <reference field="1" count="1" selected="0">
            <x v="85"/>
          </reference>
          <reference field="7" count="1" selected="0">
            <x v="18"/>
          </reference>
          <reference field="8" count="1">
            <x v="133"/>
          </reference>
        </references>
      </pivotArea>
    </format>
    <format dxfId="775">
      <pivotArea dataOnly="0" labelOnly="1" outline="0" fieldPosition="0">
        <references count="3">
          <reference field="1" count="1" selected="0">
            <x v="90"/>
          </reference>
          <reference field="7" count="1" selected="0">
            <x v="19"/>
          </reference>
          <reference field="8" count="1">
            <x v="14"/>
          </reference>
        </references>
      </pivotArea>
    </format>
    <format dxfId="774">
      <pivotArea dataOnly="0" labelOnly="1" outline="0" fieldPosition="0">
        <references count="3">
          <reference field="1" count="1" selected="0">
            <x v="156"/>
          </reference>
          <reference field="7" count="1" selected="0">
            <x v="19"/>
          </reference>
          <reference field="8" count="1">
            <x v="73"/>
          </reference>
        </references>
      </pivotArea>
    </format>
    <format dxfId="773">
      <pivotArea dataOnly="0" labelOnly="1" outline="0" fieldPosition="0">
        <references count="3">
          <reference field="1" count="1" selected="0">
            <x v="193"/>
          </reference>
          <reference field="7" count="1" selected="0">
            <x v="19"/>
          </reference>
          <reference field="8" count="1">
            <x v="46"/>
          </reference>
        </references>
      </pivotArea>
    </format>
    <format dxfId="772">
      <pivotArea dataOnly="0" labelOnly="1" outline="0" fieldPosition="0">
        <references count="3">
          <reference field="1" count="1" selected="0">
            <x v="210"/>
          </reference>
          <reference field="7" count="1" selected="0">
            <x v="19"/>
          </reference>
          <reference field="8" count="1">
            <x v="77"/>
          </reference>
        </references>
      </pivotArea>
    </format>
    <format dxfId="771">
      <pivotArea dataOnly="0" labelOnly="1" outline="0" fieldPosition="0">
        <references count="3">
          <reference field="1" count="1" selected="0">
            <x v="242"/>
          </reference>
          <reference field="7" count="1" selected="0">
            <x v="19"/>
          </reference>
          <reference field="8" count="1">
            <x v="64"/>
          </reference>
        </references>
      </pivotArea>
    </format>
    <format dxfId="770">
      <pivotArea dataOnly="0" labelOnly="1" outline="0" fieldPosition="0">
        <references count="3">
          <reference field="1" count="1" selected="0">
            <x v="41"/>
          </reference>
          <reference field="7" count="1" selected="0">
            <x v="20"/>
          </reference>
          <reference field="8" count="1">
            <x v="137"/>
          </reference>
        </references>
      </pivotArea>
    </format>
    <format dxfId="769">
      <pivotArea dataOnly="0" labelOnly="1" outline="0" fieldPosition="0">
        <references count="3">
          <reference field="1" count="1" selected="0">
            <x v="50"/>
          </reference>
          <reference field="7" count="1" selected="0">
            <x v="20"/>
          </reference>
          <reference field="8" count="1">
            <x v="135"/>
          </reference>
        </references>
      </pivotArea>
    </format>
    <format dxfId="768">
      <pivotArea dataOnly="0" labelOnly="1" outline="0" fieldPosition="0">
        <references count="3">
          <reference field="1" count="1" selected="0">
            <x v="194"/>
          </reference>
          <reference field="7" count="1" selected="0">
            <x v="20"/>
          </reference>
          <reference field="8" count="1">
            <x v="158"/>
          </reference>
        </references>
      </pivotArea>
    </format>
    <format dxfId="767">
      <pivotArea dataOnly="0" labelOnly="1" outline="0" fieldPosition="0">
        <references count="3">
          <reference field="1" count="1" selected="0">
            <x v="272"/>
          </reference>
          <reference field="7" count="1" selected="0">
            <x v="20"/>
          </reference>
          <reference field="8" count="1">
            <x v="55"/>
          </reference>
        </references>
      </pivotArea>
    </format>
    <format dxfId="766">
      <pivotArea dataOnly="0" labelOnly="1" outline="0" fieldPosition="0">
        <references count="3">
          <reference field="1" count="1" selected="0">
            <x v="273"/>
          </reference>
          <reference field="7" count="1" selected="0">
            <x v="20"/>
          </reference>
          <reference field="8" count="1">
            <x v="158"/>
          </reference>
        </references>
      </pivotArea>
    </format>
    <format dxfId="765">
      <pivotArea dataOnly="0" labelOnly="1" outline="0" fieldPosition="0">
        <references count="3">
          <reference field="1" count="1" selected="0">
            <x v="160"/>
          </reference>
          <reference field="7" count="1" selected="0">
            <x v="21"/>
          </reference>
          <reference field="8" count="1">
            <x v="4"/>
          </reference>
        </references>
      </pivotArea>
    </format>
    <format dxfId="764">
      <pivotArea dataOnly="0" labelOnly="1" outline="0" fieldPosition="0">
        <references count="3">
          <reference field="1" count="1" selected="0">
            <x v="163"/>
          </reference>
          <reference field="7" count="1" selected="0">
            <x v="21"/>
          </reference>
          <reference field="8" count="1">
            <x v="66"/>
          </reference>
        </references>
      </pivotArea>
    </format>
    <format dxfId="763">
      <pivotArea dataOnly="0" labelOnly="1" outline="0" fieldPosition="0">
        <references count="3">
          <reference field="1" count="1" selected="0">
            <x v="228"/>
          </reference>
          <reference field="7" count="1" selected="0">
            <x v="21"/>
          </reference>
          <reference field="8" count="1">
            <x v="5"/>
          </reference>
        </references>
      </pivotArea>
    </format>
    <format dxfId="762">
      <pivotArea dataOnly="0" labelOnly="1" outline="0" fieldPosition="0">
        <references count="4">
          <reference field="1" count="1" selected="0">
            <x v="121"/>
          </reference>
          <reference field="7" count="1" selected="0">
            <x v="0"/>
          </reference>
          <reference field="8" count="1" selected="0">
            <x v="158"/>
          </reference>
          <reference field="11" count="1">
            <x v="136"/>
          </reference>
        </references>
      </pivotArea>
    </format>
    <format dxfId="761">
      <pivotArea dataOnly="0" labelOnly="1" outline="0" fieldPosition="0">
        <references count="4">
          <reference field="1" count="1" selected="0">
            <x v="122"/>
          </reference>
          <reference field="7" count="1" selected="0">
            <x v="0"/>
          </reference>
          <reference field="8" count="1" selected="0">
            <x v="23"/>
          </reference>
          <reference field="11" count="1">
            <x v="146"/>
          </reference>
        </references>
      </pivotArea>
    </format>
    <format dxfId="760">
      <pivotArea dataOnly="0" labelOnly="1" outline="0" fieldPosition="0">
        <references count="4">
          <reference field="1" count="1" selected="0">
            <x v="124"/>
          </reference>
          <reference field="7" count="1" selected="0">
            <x v="0"/>
          </reference>
          <reference field="8" count="1" selected="0">
            <x v="28"/>
          </reference>
          <reference field="11" count="1">
            <x v="47"/>
          </reference>
        </references>
      </pivotArea>
    </format>
    <format dxfId="759">
      <pivotArea dataOnly="0" labelOnly="1" outline="0" fieldPosition="0">
        <references count="4">
          <reference field="1" count="1" selected="0">
            <x v="173"/>
          </reference>
          <reference field="7" count="1" selected="0">
            <x v="0"/>
          </reference>
          <reference field="8" count="1" selected="0">
            <x v="101"/>
          </reference>
          <reference field="11" count="1">
            <x v="56"/>
          </reference>
        </references>
      </pivotArea>
    </format>
    <format dxfId="758">
      <pivotArea dataOnly="0" labelOnly="1" outline="0" fieldPosition="0">
        <references count="4">
          <reference field="1" count="1" selected="0">
            <x v="195"/>
          </reference>
          <reference field="7" count="1" selected="0">
            <x v="0"/>
          </reference>
          <reference field="8" count="1" selected="0">
            <x v="35"/>
          </reference>
          <reference field="11" count="1">
            <x v="130"/>
          </reference>
        </references>
      </pivotArea>
    </format>
    <format dxfId="757">
      <pivotArea dataOnly="0" labelOnly="1" outline="0" fieldPosition="0">
        <references count="4">
          <reference field="1" count="1" selected="0">
            <x v="196"/>
          </reference>
          <reference field="7" count="1" selected="0">
            <x v="0"/>
          </reference>
          <reference field="8" count="1" selected="0">
            <x v="58"/>
          </reference>
          <reference field="11" count="1">
            <x v="136"/>
          </reference>
        </references>
      </pivotArea>
    </format>
    <format dxfId="756">
      <pivotArea dataOnly="0" labelOnly="1" outline="0" fieldPosition="0">
        <references count="4">
          <reference field="1" count="1" selected="0">
            <x v="198"/>
          </reference>
          <reference field="7" count="1" selected="0">
            <x v="0"/>
          </reference>
          <reference field="8" count="1" selected="0">
            <x v="24"/>
          </reference>
          <reference field="11" count="1">
            <x v="95"/>
          </reference>
        </references>
      </pivotArea>
    </format>
    <format dxfId="755">
      <pivotArea dataOnly="0" labelOnly="1" outline="0" fieldPosition="0">
        <references count="4">
          <reference field="1" count="1" selected="0">
            <x v="200"/>
          </reference>
          <reference field="7" count="1" selected="0">
            <x v="0"/>
          </reference>
          <reference field="8" count="1" selected="0">
            <x v="45"/>
          </reference>
          <reference field="11" count="1">
            <x v="148"/>
          </reference>
        </references>
      </pivotArea>
    </format>
    <format dxfId="754">
      <pivotArea dataOnly="0" labelOnly="1" outline="0" fieldPosition="0">
        <references count="4">
          <reference field="1" count="1" selected="0">
            <x v="201"/>
          </reference>
          <reference field="7" count="1" selected="0">
            <x v="0"/>
          </reference>
          <reference field="8" count="1" selected="0">
            <x v="158"/>
          </reference>
          <reference field="11" count="1">
            <x v="40"/>
          </reference>
        </references>
      </pivotArea>
    </format>
    <format dxfId="753">
      <pivotArea dataOnly="0" labelOnly="1" outline="0" fieldPosition="0">
        <references count="4">
          <reference field="1" count="1" selected="0">
            <x v="240"/>
          </reference>
          <reference field="7" count="1" selected="0">
            <x v="0"/>
          </reference>
          <reference field="8" count="1" selected="0">
            <x v="19"/>
          </reference>
          <reference field="11" count="1">
            <x v="108"/>
          </reference>
        </references>
      </pivotArea>
    </format>
    <format dxfId="752">
      <pivotArea dataOnly="0" labelOnly="1" outline="0" fieldPosition="0">
        <references count="4">
          <reference field="1" count="1" selected="0">
            <x v="247"/>
          </reference>
          <reference field="7" count="1" selected="0">
            <x v="0"/>
          </reference>
          <reference field="8" count="1" selected="0">
            <x v="39"/>
          </reference>
          <reference field="11" count="1">
            <x v="138"/>
          </reference>
        </references>
      </pivotArea>
    </format>
    <format dxfId="751">
      <pivotArea dataOnly="0" labelOnly="1" outline="0" fieldPosition="0">
        <references count="4">
          <reference field="1" count="1" selected="0">
            <x v="248"/>
          </reference>
          <reference field="7" count="1" selected="0">
            <x v="0"/>
          </reference>
          <reference field="8" count="1" selected="0">
            <x v="100"/>
          </reference>
          <reference field="11" count="1">
            <x v="160"/>
          </reference>
        </references>
      </pivotArea>
    </format>
    <format dxfId="750">
      <pivotArea dataOnly="0" labelOnly="1" outline="0" fieldPosition="0">
        <references count="4">
          <reference field="1" count="1" selected="0">
            <x v="23"/>
          </reference>
          <reference field="7" count="1" selected="0">
            <x v="1"/>
          </reference>
          <reference field="8" count="1" selected="0">
            <x v="113"/>
          </reference>
          <reference field="11" count="1">
            <x v="102"/>
          </reference>
        </references>
      </pivotArea>
    </format>
    <format dxfId="749">
      <pivotArea dataOnly="0" labelOnly="1" outline="0" fieldPosition="0">
        <references count="4">
          <reference field="1" count="1" selected="0">
            <x v="44"/>
          </reference>
          <reference field="7" count="1" selected="0">
            <x v="1"/>
          </reference>
          <reference field="8" count="1" selected="0">
            <x v="116"/>
          </reference>
          <reference field="11" count="1">
            <x v="119"/>
          </reference>
        </references>
      </pivotArea>
    </format>
    <format dxfId="748">
      <pivotArea dataOnly="0" labelOnly="1" outline="0" fieldPosition="0">
        <references count="4">
          <reference field="1" count="1" selected="0">
            <x v="60"/>
          </reference>
          <reference field="7" count="1" selected="0">
            <x v="1"/>
          </reference>
          <reference field="8" count="1" selected="0">
            <x v="121"/>
          </reference>
          <reference field="11" count="1">
            <x v="126"/>
          </reference>
        </references>
      </pivotArea>
    </format>
    <format dxfId="747">
      <pivotArea dataOnly="0" labelOnly="1" outline="0" fieldPosition="0">
        <references count="4">
          <reference field="1" count="1" selected="0">
            <x v="79"/>
          </reference>
          <reference field="7" count="1" selected="0">
            <x v="1"/>
          </reference>
          <reference field="8" count="1" selected="0">
            <x v="136"/>
          </reference>
          <reference field="11" count="1">
            <x v="125"/>
          </reference>
        </references>
      </pivotArea>
    </format>
    <format dxfId="746">
      <pivotArea dataOnly="0" labelOnly="1" outline="0" fieldPosition="0">
        <references count="4">
          <reference field="1" count="1" selected="0">
            <x v="251"/>
          </reference>
          <reference field="7" count="1" selected="0">
            <x v="1"/>
          </reference>
          <reference field="8" count="1" selected="0">
            <x v="158"/>
          </reference>
          <reference field="11" count="1">
            <x v="31"/>
          </reference>
        </references>
      </pivotArea>
    </format>
    <format dxfId="745">
      <pivotArea dataOnly="0" labelOnly="1" outline="0" fieldPosition="0">
        <references count="4">
          <reference field="1" count="1" selected="0">
            <x v="252"/>
          </reference>
          <reference field="7" count="1" selected="0">
            <x v="1"/>
          </reference>
          <reference field="8" count="1" selected="0">
            <x v="158"/>
          </reference>
          <reference field="11" count="1">
            <x v="39"/>
          </reference>
        </references>
      </pivotArea>
    </format>
    <format dxfId="744">
      <pivotArea dataOnly="0" labelOnly="1" outline="0" fieldPosition="0">
        <references count="4">
          <reference field="1" count="1" selected="0">
            <x v="0"/>
          </reference>
          <reference field="7" count="1" selected="0">
            <x v="2"/>
          </reference>
          <reference field="8" count="1" selected="0">
            <x v="147"/>
          </reference>
          <reference field="11" count="1">
            <x v="13"/>
          </reference>
        </references>
      </pivotArea>
    </format>
    <format dxfId="743">
      <pivotArea dataOnly="0" labelOnly="1" outline="0" fieldPosition="0">
        <references count="4">
          <reference field="1" count="1" selected="0">
            <x v="1"/>
          </reference>
          <reference field="7" count="1" selected="0">
            <x v="2"/>
          </reference>
          <reference field="8" count="1" selected="0">
            <x v="147"/>
          </reference>
          <reference field="11" count="1">
            <x v="10"/>
          </reference>
        </references>
      </pivotArea>
    </format>
    <format dxfId="742">
      <pivotArea dataOnly="0" labelOnly="1" outline="0" fieldPosition="0">
        <references count="4">
          <reference field="1" count="1" selected="0">
            <x v="2"/>
          </reference>
          <reference field="7" count="1" selected="0">
            <x v="2"/>
          </reference>
          <reference field="8" count="1" selected="0">
            <x v="147"/>
          </reference>
          <reference field="11" count="1">
            <x v="13"/>
          </reference>
        </references>
      </pivotArea>
    </format>
    <format dxfId="741">
      <pivotArea dataOnly="0" labelOnly="1" outline="0" fieldPosition="0">
        <references count="4">
          <reference field="1" count="1" selected="0">
            <x v="3"/>
          </reference>
          <reference field="7" count="1" selected="0">
            <x v="2"/>
          </reference>
          <reference field="8" count="1" selected="0">
            <x v="147"/>
          </reference>
          <reference field="11" count="1">
            <x v="22"/>
          </reference>
        </references>
      </pivotArea>
    </format>
    <format dxfId="740">
      <pivotArea dataOnly="0" labelOnly="1" outline="0" fieldPosition="0">
        <references count="4">
          <reference field="1" count="1" selected="0">
            <x v="4"/>
          </reference>
          <reference field="7" count="1" selected="0">
            <x v="2"/>
          </reference>
          <reference field="8" count="1" selected="0">
            <x v="147"/>
          </reference>
          <reference field="11" count="1">
            <x v="13"/>
          </reference>
        </references>
      </pivotArea>
    </format>
    <format dxfId="739">
      <pivotArea dataOnly="0" labelOnly="1" outline="0" fieldPosition="0">
        <references count="4">
          <reference field="1" count="1" selected="0">
            <x v="105"/>
          </reference>
          <reference field="7" count="1" selected="0">
            <x v="3"/>
          </reference>
          <reference field="8" count="1" selected="0">
            <x v="158"/>
          </reference>
          <reference field="11" count="1">
            <x v="11"/>
          </reference>
        </references>
      </pivotArea>
    </format>
    <format dxfId="738">
      <pivotArea dataOnly="0" labelOnly="1" outline="0" fieldPosition="0">
        <references count="4">
          <reference field="1" count="1" selected="0">
            <x v="53"/>
          </reference>
          <reference field="7" count="1" selected="0">
            <x v="4"/>
          </reference>
          <reference field="8" count="1" selected="0">
            <x v="42"/>
          </reference>
          <reference field="11" count="1">
            <x v="97"/>
          </reference>
        </references>
      </pivotArea>
    </format>
    <format dxfId="737">
      <pivotArea dataOnly="0" labelOnly="1" outline="0" fieldPosition="0">
        <references count="4">
          <reference field="1" count="1" selected="0">
            <x v="92"/>
          </reference>
          <reference field="7" count="1" selected="0">
            <x v="4"/>
          </reference>
          <reference field="8" count="1" selected="0">
            <x v="98"/>
          </reference>
          <reference field="11" count="1">
            <x v="145"/>
          </reference>
        </references>
      </pivotArea>
    </format>
    <format dxfId="736">
      <pivotArea dataOnly="0" labelOnly="1" outline="0" fieldPosition="0">
        <references count="4">
          <reference field="1" count="1" selected="0">
            <x v="157"/>
          </reference>
          <reference field="7" count="1" selected="0">
            <x v="4"/>
          </reference>
          <reference field="8" count="1" selected="0">
            <x v="151"/>
          </reference>
          <reference field="11" count="1">
            <x v="143"/>
          </reference>
        </references>
      </pivotArea>
    </format>
    <format dxfId="735">
      <pivotArea dataOnly="0" labelOnly="1" outline="0" fieldPosition="0">
        <references count="4">
          <reference field="1" count="1" selected="0">
            <x v="197"/>
          </reference>
          <reference field="7" count="1" selected="0">
            <x v="4"/>
          </reference>
          <reference field="8" count="1" selected="0">
            <x v="40"/>
          </reference>
          <reference field="11" count="1">
            <x v="114"/>
          </reference>
        </references>
      </pivotArea>
    </format>
    <format dxfId="734">
      <pivotArea dataOnly="0" labelOnly="1" outline="0" fieldPosition="0">
        <references count="4">
          <reference field="1" count="1" selected="0">
            <x v="199"/>
          </reference>
          <reference field="7" count="1" selected="0">
            <x v="4"/>
          </reference>
          <reference field="8" count="1" selected="0">
            <x v="158"/>
          </reference>
          <reference field="11" count="1">
            <x v="120"/>
          </reference>
        </references>
      </pivotArea>
    </format>
    <format dxfId="733">
      <pivotArea dataOnly="0" labelOnly="1" outline="0" fieldPosition="0">
        <references count="4">
          <reference field="1" count="1" selected="0">
            <x v="274"/>
          </reference>
          <reference field="7" count="1" selected="0">
            <x v="4"/>
          </reference>
          <reference field="8" count="1" selected="0">
            <x v="87"/>
          </reference>
          <reference field="11" count="1">
            <x v="152"/>
          </reference>
        </references>
      </pivotArea>
    </format>
    <format dxfId="732">
      <pivotArea dataOnly="0" labelOnly="1" outline="0" fieldPosition="0">
        <references count="4">
          <reference field="1" count="1" selected="0">
            <x v="275"/>
          </reference>
          <reference field="7" count="1" selected="0">
            <x v="4"/>
          </reference>
          <reference field="8" count="1" selected="0">
            <x v="96"/>
          </reference>
          <reference field="11" count="1">
            <x v="133"/>
          </reference>
        </references>
      </pivotArea>
    </format>
    <format dxfId="731">
      <pivotArea dataOnly="0" labelOnly="1" outline="0" fieldPosition="0">
        <references count="4">
          <reference field="1" count="1" selected="0">
            <x v="87"/>
          </reference>
          <reference field="7" count="1" selected="0">
            <x v="5"/>
          </reference>
          <reference field="8" count="1" selected="0">
            <x v="80"/>
          </reference>
          <reference field="11" count="1">
            <x v="66"/>
          </reference>
        </references>
      </pivotArea>
    </format>
    <format dxfId="730">
      <pivotArea dataOnly="0" labelOnly="1" outline="0" fieldPosition="0">
        <references count="4">
          <reference field="1" count="1" selected="0">
            <x v="103"/>
          </reference>
          <reference field="7" count="1" selected="0">
            <x v="5"/>
          </reference>
          <reference field="8" count="1" selected="0">
            <x v="11"/>
          </reference>
          <reference field="11" count="1">
            <x v="69"/>
          </reference>
        </references>
      </pivotArea>
    </format>
    <format dxfId="729">
      <pivotArea dataOnly="0" labelOnly="1" outline="0" fieldPosition="0">
        <references count="4">
          <reference field="1" count="1" selected="0">
            <x v="129"/>
          </reference>
          <reference field="7" count="1" selected="0">
            <x v="5"/>
          </reference>
          <reference field="8" count="1" selected="0">
            <x v="59"/>
          </reference>
          <reference field="11" count="1">
            <x v="23"/>
          </reference>
        </references>
      </pivotArea>
    </format>
    <format dxfId="728">
      <pivotArea dataOnly="0" labelOnly="1" outline="0" fieldPosition="0">
        <references count="4">
          <reference field="1" count="1" selected="0">
            <x v="131"/>
          </reference>
          <reference field="7" count="1" selected="0">
            <x v="5"/>
          </reference>
          <reference field="8" count="1" selected="0">
            <x v="148"/>
          </reference>
          <reference field="11" count="1">
            <x v="2"/>
          </reference>
        </references>
      </pivotArea>
    </format>
    <format dxfId="727">
      <pivotArea dataOnly="0" labelOnly="1" outline="0" fieldPosition="0">
        <references count="4">
          <reference field="1" count="1" selected="0">
            <x v="132"/>
          </reference>
          <reference field="7" count="1" selected="0">
            <x v="5"/>
          </reference>
          <reference field="8" count="1" selected="0">
            <x v="90"/>
          </reference>
          <reference field="11" count="1">
            <x v="4"/>
          </reference>
        </references>
      </pivotArea>
    </format>
    <format dxfId="726">
      <pivotArea dataOnly="0" labelOnly="1" outline="0" fieldPosition="0">
        <references count="4">
          <reference field="1" count="1" selected="0">
            <x v="146"/>
          </reference>
          <reference field="7" count="1" selected="0">
            <x v="5"/>
          </reference>
          <reference field="8" count="1" selected="0">
            <x v="51"/>
          </reference>
          <reference field="11" count="1">
            <x v="141"/>
          </reference>
        </references>
      </pivotArea>
    </format>
    <format dxfId="725">
      <pivotArea dataOnly="0" labelOnly="1" outline="0" fieldPosition="0">
        <references count="4">
          <reference field="1" count="1" selected="0">
            <x v="147"/>
          </reference>
          <reference field="7" count="1" selected="0">
            <x v="5"/>
          </reference>
          <reference field="8" count="1" selected="0">
            <x v="33"/>
          </reference>
          <reference field="11" count="1">
            <x v="117"/>
          </reference>
        </references>
      </pivotArea>
    </format>
    <format dxfId="724">
      <pivotArea dataOnly="0" labelOnly="1" outline="0" fieldPosition="0">
        <references count="4">
          <reference field="1" count="1" selected="0">
            <x v="148"/>
          </reference>
          <reference field="7" count="1" selected="0">
            <x v="5"/>
          </reference>
          <reference field="8" count="1" selected="0">
            <x v="50"/>
          </reference>
          <reference field="11" count="1">
            <x v="83"/>
          </reference>
        </references>
      </pivotArea>
    </format>
    <format dxfId="723">
      <pivotArea dataOnly="0" labelOnly="1" outline="0" fieldPosition="0">
        <references count="4">
          <reference field="1" count="1" selected="0">
            <x v="159"/>
          </reference>
          <reference field="7" count="1" selected="0">
            <x v="5"/>
          </reference>
          <reference field="8" count="1" selected="0">
            <x v="158"/>
          </reference>
          <reference field="11" count="1">
            <x v="4"/>
          </reference>
        </references>
      </pivotArea>
    </format>
    <format dxfId="722">
      <pivotArea dataOnly="0" labelOnly="1" outline="0" fieldPosition="0">
        <references count="4">
          <reference field="1" count="1" selected="0">
            <x v="162"/>
          </reference>
          <reference field="7" count="1" selected="0">
            <x v="5"/>
          </reference>
          <reference field="8" count="1" selected="0">
            <x v="53"/>
          </reference>
          <reference field="11" count="1">
            <x v="49"/>
          </reference>
        </references>
      </pivotArea>
    </format>
    <format dxfId="721">
      <pivotArea dataOnly="0" labelOnly="1" outline="0" fieldPosition="0">
        <references count="4">
          <reference field="1" count="1" selected="0">
            <x v="175"/>
          </reference>
          <reference field="7" count="1" selected="0">
            <x v="5"/>
          </reference>
          <reference field="8" count="1" selected="0">
            <x v="61"/>
          </reference>
          <reference field="11" count="1">
            <x v="155"/>
          </reference>
        </references>
      </pivotArea>
    </format>
    <format dxfId="720">
      <pivotArea dataOnly="0" labelOnly="1" outline="0" fieldPosition="0">
        <references count="4">
          <reference field="1" count="1" selected="0">
            <x v="179"/>
          </reference>
          <reference field="7" count="1" selected="0">
            <x v="5"/>
          </reference>
          <reference field="8" count="1" selected="0">
            <x v="152"/>
          </reference>
          <reference field="11" count="1">
            <x v="0"/>
          </reference>
        </references>
      </pivotArea>
    </format>
    <format dxfId="719">
      <pivotArea dataOnly="0" labelOnly="1" outline="0" fieldPosition="0">
        <references count="4">
          <reference field="1" count="1" selected="0">
            <x v="186"/>
          </reference>
          <reference field="7" count="1" selected="0">
            <x v="5"/>
          </reference>
          <reference field="8" count="1" selected="0">
            <x v="22"/>
          </reference>
          <reference field="11" count="1">
            <x v="31"/>
          </reference>
        </references>
      </pivotArea>
    </format>
    <format dxfId="718">
      <pivotArea dataOnly="0" labelOnly="1" outline="0" fieldPosition="0">
        <references count="4">
          <reference field="1" count="1" selected="0">
            <x v="187"/>
          </reference>
          <reference field="7" count="1" selected="0">
            <x v="5"/>
          </reference>
          <reference field="8" count="1" selected="0">
            <x v="17"/>
          </reference>
          <reference field="11" count="1">
            <x v="35"/>
          </reference>
        </references>
      </pivotArea>
    </format>
    <format dxfId="717">
      <pivotArea dataOnly="0" labelOnly="1" outline="0" fieldPosition="0">
        <references count="4">
          <reference field="1" count="1" selected="0">
            <x v="190"/>
          </reference>
          <reference field="7" count="1" selected="0">
            <x v="5"/>
          </reference>
          <reference field="8" count="1" selected="0">
            <x v="141"/>
          </reference>
          <reference field="11" count="1">
            <x v="68"/>
          </reference>
        </references>
      </pivotArea>
    </format>
    <format dxfId="716">
      <pivotArea dataOnly="0" labelOnly="1" outline="0" fieldPosition="0">
        <references count="4">
          <reference field="1" count="1" selected="0">
            <x v="191"/>
          </reference>
          <reference field="7" count="1" selected="0">
            <x v="5"/>
          </reference>
          <reference field="8" count="1" selected="0">
            <x v="6"/>
          </reference>
          <reference field="11" count="1">
            <x v="133"/>
          </reference>
        </references>
      </pivotArea>
    </format>
    <format dxfId="715">
      <pivotArea dataOnly="0" labelOnly="1" outline="0" fieldPosition="0">
        <references count="4">
          <reference field="1" count="1" selected="0">
            <x v="192"/>
          </reference>
          <reference field="7" count="1" selected="0">
            <x v="5"/>
          </reference>
          <reference field="8" count="1" selected="0">
            <x v="138"/>
          </reference>
          <reference field="11" count="1">
            <x v="70"/>
          </reference>
        </references>
      </pivotArea>
    </format>
    <format dxfId="714">
      <pivotArea dataOnly="0" labelOnly="1" outline="0" fieldPosition="0">
        <references count="4">
          <reference field="1" count="1" selected="0">
            <x v="202"/>
          </reference>
          <reference field="7" count="1" selected="0">
            <x v="5"/>
          </reference>
          <reference field="8" count="1" selected="0">
            <x v="150"/>
          </reference>
          <reference field="11" count="1">
            <x v="32"/>
          </reference>
        </references>
      </pivotArea>
    </format>
    <format dxfId="713">
      <pivotArea dataOnly="0" labelOnly="1" outline="0" fieldPosition="0">
        <references count="4">
          <reference field="1" count="1" selected="0">
            <x v="208"/>
          </reference>
          <reference field="7" count="1" selected="0">
            <x v="5"/>
          </reference>
          <reference field="8" count="1" selected="0">
            <x v="52"/>
          </reference>
          <reference field="11" count="1">
            <x v="9"/>
          </reference>
        </references>
      </pivotArea>
    </format>
    <format dxfId="712">
      <pivotArea dataOnly="0" labelOnly="1" outline="0" fieldPosition="0">
        <references count="4">
          <reference field="1" count="1" selected="0">
            <x v="216"/>
          </reference>
          <reference field="7" count="1" selected="0">
            <x v="5"/>
          </reference>
          <reference field="8" count="1" selected="0">
            <x v="70"/>
          </reference>
          <reference field="11" count="1">
            <x v="67"/>
          </reference>
        </references>
      </pivotArea>
    </format>
    <format dxfId="711">
      <pivotArea dataOnly="0" labelOnly="1" outline="0" fieldPosition="0">
        <references count="4">
          <reference field="1" count="1" selected="0">
            <x v="217"/>
          </reference>
          <reference field="7" count="1" selected="0">
            <x v="5"/>
          </reference>
          <reference field="8" count="1" selected="0">
            <x v="48"/>
          </reference>
          <reference field="11" count="1">
            <x v="81"/>
          </reference>
        </references>
      </pivotArea>
    </format>
    <format dxfId="710">
      <pivotArea dataOnly="0" labelOnly="1" outline="0" fieldPosition="0">
        <references count="4">
          <reference field="1" count="1" selected="0">
            <x v="218"/>
          </reference>
          <reference field="7" count="1" selected="0">
            <x v="5"/>
          </reference>
          <reference field="8" count="1" selected="0">
            <x v="108"/>
          </reference>
          <reference field="11" count="1">
            <x v="30"/>
          </reference>
        </references>
      </pivotArea>
    </format>
    <format dxfId="709">
      <pivotArea dataOnly="0" labelOnly="1" outline="0" fieldPosition="0">
        <references count="4">
          <reference field="1" count="1" selected="0">
            <x v="218"/>
          </reference>
          <reference field="7" count="1" selected="0">
            <x v="5"/>
          </reference>
          <reference field="8" count="1" selected="0">
            <x v="145"/>
          </reference>
          <reference field="11" count="1">
            <x v="20"/>
          </reference>
        </references>
      </pivotArea>
    </format>
    <format dxfId="708">
      <pivotArea dataOnly="0" labelOnly="1" outline="0" fieldPosition="0">
        <references count="4">
          <reference field="1" count="1" selected="0">
            <x v="219"/>
          </reference>
          <reference field="7" count="1" selected="0">
            <x v="5"/>
          </reference>
          <reference field="8" count="1" selected="0">
            <x v="146"/>
          </reference>
          <reference field="11" count="1">
            <x v="67"/>
          </reference>
        </references>
      </pivotArea>
    </format>
    <format dxfId="707">
      <pivotArea dataOnly="0" labelOnly="1" outline="0" fieldPosition="0">
        <references count="4">
          <reference field="1" count="1" selected="0">
            <x v="220"/>
          </reference>
          <reference field="7" count="1" selected="0">
            <x v="5"/>
          </reference>
          <reference field="8" count="1" selected="0">
            <x v="158"/>
          </reference>
          <reference field="11" count="1">
            <x v="5"/>
          </reference>
        </references>
      </pivotArea>
    </format>
    <format dxfId="706">
      <pivotArea dataOnly="0" labelOnly="1" outline="0" fieldPosition="0">
        <references count="4">
          <reference field="1" count="1" selected="0">
            <x v="224"/>
          </reference>
          <reference field="7" count="1" selected="0">
            <x v="5"/>
          </reference>
          <reference field="8" count="1" selected="0">
            <x v="34"/>
          </reference>
          <reference field="11" count="1">
            <x v="3"/>
          </reference>
        </references>
      </pivotArea>
    </format>
    <format dxfId="705">
      <pivotArea dataOnly="0" labelOnly="1" outline="0" fieldPosition="0">
        <references count="4">
          <reference field="1" count="1" selected="0">
            <x v="227"/>
          </reference>
          <reference field="7" count="1" selected="0">
            <x v="5"/>
          </reference>
          <reference field="8" count="1" selected="0">
            <x v="158"/>
          </reference>
          <reference field="11" count="1">
            <x v="4"/>
          </reference>
        </references>
      </pivotArea>
    </format>
    <format dxfId="704">
      <pivotArea dataOnly="0" labelOnly="1" outline="0" fieldPosition="0">
        <references count="4">
          <reference field="1" count="1" selected="0">
            <x v="231"/>
          </reference>
          <reference field="7" count="1" selected="0">
            <x v="5"/>
          </reference>
          <reference field="8" count="1" selected="0">
            <x v="65"/>
          </reference>
          <reference field="11" count="1">
            <x v="140"/>
          </reference>
        </references>
      </pivotArea>
    </format>
    <format dxfId="703">
      <pivotArea dataOnly="0" labelOnly="1" outline="0" fieldPosition="0">
        <references count="4">
          <reference field="1" count="1" selected="0">
            <x v="232"/>
          </reference>
          <reference field="7" count="1" selected="0">
            <x v="5"/>
          </reference>
          <reference field="8" count="1" selected="0">
            <x v="72"/>
          </reference>
          <reference field="11" count="1">
            <x v="38"/>
          </reference>
        </references>
      </pivotArea>
    </format>
    <format dxfId="702">
      <pivotArea dataOnly="0" labelOnly="1" outline="0" fieldPosition="0">
        <references count="4">
          <reference field="1" count="1" selected="0">
            <x v="235"/>
          </reference>
          <reference field="7" count="1" selected="0">
            <x v="5"/>
          </reference>
          <reference field="8" count="1" selected="0">
            <x v="85"/>
          </reference>
          <reference field="11" count="1">
            <x v="53"/>
          </reference>
        </references>
      </pivotArea>
    </format>
    <format dxfId="701">
      <pivotArea dataOnly="0" labelOnly="1" outline="0" fieldPosition="0">
        <references count="4">
          <reference field="1" count="1" selected="0">
            <x v="236"/>
          </reference>
          <reference field="7" count="1" selected="0">
            <x v="5"/>
          </reference>
          <reference field="8" count="1" selected="0">
            <x v="142"/>
          </reference>
          <reference field="11" count="1">
            <x v="37"/>
          </reference>
        </references>
      </pivotArea>
    </format>
    <format dxfId="700">
      <pivotArea dataOnly="0" labelOnly="1" outline="0" fieldPosition="0">
        <references count="4">
          <reference field="1" count="1" selected="0">
            <x v="245"/>
          </reference>
          <reference field="7" count="1" selected="0">
            <x v="5"/>
          </reference>
          <reference field="8" count="1" selected="0">
            <x v="102"/>
          </reference>
          <reference field="11" count="1">
            <x v="99"/>
          </reference>
        </references>
      </pivotArea>
    </format>
    <format dxfId="699">
      <pivotArea dataOnly="0" labelOnly="1" outline="0" fieldPosition="0">
        <references count="4">
          <reference field="1" count="1" selected="0">
            <x v="249"/>
          </reference>
          <reference field="7" count="1" selected="0">
            <x v="5"/>
          </reference>
          <reference field="8" count="1" selected="0">
            <x v="158"/>
          </reference>
          <reference field="11" count="1">
            <x v="26"/>
          </reference>
        </references>
      </pivotArea>
    </format>
    <format dxfId="698">
      <pivotArea dataOnly="0" labelOnly="1" outline="0" fieldPosition="0">
        <references count="4">
          <reference field="1" count="1" selected="0">
            <x v="253"/>
          </reference>
          <reference field="7" count="1" selected="0">
            <x v="5"/>
          </reference>
          <reference field="8" count="1" selected="0">
            <x v="56"/>
          </reference>
          <reference field="11" count="1">
            <x v="51"/>
          </reference>
        </references>
      </pivotArea>
    </format>
    <format dxfId="697">
      <pivotArea dataOnly="0" labelOnly="1" outline="0" fieldPosition="0">
        <references count="4">
          <reference field="1" count="1" selected="0">
            <x v="254"/>
          </reference>
          <reference field="7" count="1" selected="0">
            <x v="5"/>
          </reference>
          <reference field="8" count="1" selected="0">
            <x v="75"/>
          </reference>
          <reference field="11" count="1">
            <x v="48"/>
          </reference>
        </references>
      </pivotArea>
    </format>
    <format dxfId="696">
      <pivotArea dataOnly="0" labelOnly="1" outline="0" fieldPosition="0">
        <references count="4">
          <reference field="1" count="1" selected="0">
            <x v="255"/>
          </reference>
          <reference field="7" count="1" selected="0">
            <x v="5"/>
          </reference>
          <reference field="8" count="1" selected="0">
            <x v="105"/>
          </reference>
          <reference field="11" count="1">
            <x v="21"/>
          </reference>
        </references>
      </pivotArea>
    </format>
    <format dxfId="695">
      <pivotArea dataOnly="0" labelOnly="1" outline="0" fieldPosition="0">
        <references count="4">
          <reference field="1" count="1" selected="0">
            <x v="256"/>
          </reference>
          <reference field="7" count="1" selected="0">
            <x v="5"/>
          </reference>
          <reference field="8" count="1" selected="0">
            <x v="106"/>
          </reference>
          <reference field="11" count="1">
            <x v="111"/>
          </reference>
        </references>
      </pivotArea>
    </format>
    <format dxfId="694">
      <pivotArea dataOnly="0" labelOnly="1" outline="0" fieldPosition="0">
        <references count="4">
          <reference field="1" count="1" selected="0">
            <x v="263"/>
          </reference>
          <reference field="7" count="1" selected="0">
            <x v="5"/>
          </reference>
          <reference field="8" count="1" selected="0">
            <x v="158"/>
          </reference>
          <reference field="11" count="1">
            <x v="153"/>
          </reference>
        </references>
      </pivotArea>
    </format>
    <format dxfId="693">
      <pivotArea dataOnly="0" labelOnly="1" outline="0" fieldPosition="0">
        <references count="4">
          <reference field="1" count="1" selected="0">
            <x v="31"/>
          </reference>
          <reference field="7" count="1" selected="0">
            <x v="6"/>
          </reference>
          <reference field="8" count="1" selected="0">
            <x v="0"/>
          </reference>
          <reference field="11" count="1">
            <x v="25"/>
          </reference>
        </references>
      </pivotArea>
    </format>
    <format dxfId="692">
      <pivotArea dataOnly="0" labelOnly="1" outline="0" fieldPosition="0">
        <references count="4">
          <reference field="1" count="1" selected="0">
            <x v="32"/>
          </reference>
          <reference field="7" count="1" selected="0">
            <x v="6"/>
          </reference>
          <reference field="8" count="1" selected="0">
            <x v="49"/>
          </reference>
          <reference field="11" count="1">
            <x v="34"/>
          </reference>
        </references>
      </pivotArea>
    </format>
    <format dxfId="691">
      <pivotArea dataOnly="0" labelOnly="1" outline="0" fieldPosition="0">
        <references count="4">
          <reference field="1" count="1" selected="0">
            <x v="34"/>
          </reference>
          <reference field="7" count="1" selected="0">
            <x v="6"/>
          </reference>
          <reference field="8" count="1" selected="0">
            <x v="158"/>
          </reference>
          <reference field="11" count="1">
            <x v="17"/>
          </reference>
        </references>
      </pivotArea>
    </format>
    <format dxfId="690">
      <pivotArea dataOnly="0" labelOnly="1" outline="0" fieldPosition="0">
        <references count="4">
          <reference field="1" count="1" selected="0">
            <x v="35"/>
          </reference>
          <reference field="7" count="1" selected="0">
            <x v="6"/>
          </reference>
          <reference field="8" count="1" selected="0">
            <x v="158"/>
          </reference>
          <reference field="11" count="1">
            <x v="34"/>
          </reference>
        </references>
      </pivotArea>
    </format>
    <format dxfId="689">
      <pivotArea dataOnly="0" labelOnly="1" outline="0" fieldPosition="0">
        <references count="4">
          <reference field="1" count="1" selected="0">
            <x v="36"/>
          </reference>
          <reference field="7" count="1" selected="0">
            <x v="6"/>
          </reference>
          <reference field="8" count="1" selected="0">
            <x v="158"/>
          </reference>
          <reference field="11" count="1">
            <x v="12"/>
          </reference>
        </references>
      </pivotArea>
    </format>
    <format dxfId="688">
      <pivotArea dataOnly="0" labelOnly="1" outline="0" fieldPosition="0">
        <references count="4">
          <reference field="1" count="1" selected="0">
            <x v="37"/>
          </reference>
          <reference field="7" count="1" selected="0">
            <x v="6"/>
          </reference>
          <reference field="8" count="1" selected="0">
            <x v="158"/>
          </reference>
          <reference field="11" count="1">
            <x v="34"/>
          </reference>
        </references>
      </pivotArea>
    </format>
    <format dxfId="687">
      <pivotArea dataOnly="0" labelOnly="1" outline="0" fieldPosition="0">
        <references count="4">
          <reference field="1" count="1" selected="0">
            <x v="38"/>
          </reference>
          <reference field="7" count="1" selected="0">
            <x v="6"/>
          </reference>
          <reference field="8" count="1" selected="0">
            <x v="158"/>
          </reference>
          <reference field="11" count="1">
            <x v="12"/>
          </reference>
        </references>
      </pivotArea>
    </format>
    <format dxfId="686">
      <pivotArea dataOnly="0" labelOnly="1" outline="0" fieldPosition="0">
        <references count="4">
          <reference field="1" count="1" selected="0">
            <x v="49"/>
          </reference>
          <reference field="7" count="1" selected="0">
            <x v="6"/>
          </reference>
          <reference field="8" count="1" selected="0">
            <x v="91"/>
          </reference>
          <reference field="11" count="1">
            <x v="74"/>
          </reference>
        </references>
      </pivotArea>
    </format>
    <format dxfId="685">
      <pivotArea dataOnly="0" labelOnly="1" outline="0" fieldPosition="0">
        <references count="4">
          <reference field="1" count="1" selected="0">
            <x v="83"/>
          </reference>
          <reference field="7" count="1" selected="0">
            <x v="6"/>
          </reference>
          <reference field="8" count="1" selected="0">
            <x v="3"/>
          </reference>
          <reference field="11" count="1">
            <x v="23"/>
          </reference>
        </references>
      </pivotArea>
    </format>
    <format dxfId="684">
      <pivotArea dataOnly="0" labelOnly="1" outline="0" fieldPosition="0">
        <references count="4">
          <reference field="1" count="1" selected="0">
            <x v="101"/>
          </reference>
          <reference field="7" count="1" selected="0">
            <x v="6"/>
          </reference>
          <reference field="8" count="1" selected="0">
            <x v="54"/>
          </reference>
          <reference field="11" count="1">
            <x v="115"/>
          </reference>
        </references>
      </pivotArea>
    </format>
    <format dxfId="683">
      <pivotArea dataOnly="0" labelOnly="1" outline="0" fieldPosition="0">
        <references count="4">
          <reference field="1" count="1" selected="0">
            <x v="102"/>
          </reference>
          <reference field="7" count="1" selected="0">
            <x v="6"/>
          </reference>
          <reference field="8" count="1" selected="0">
            <x v="67"/>
          </reference>
          <reference field="11" count="1">
            <x v="80"/>
          </reference>
        </references>
      </pivotArea>
    </format>
    <format dxfId="682">
      <pivotArea dataOnly="0" labelOnly="1" outline="0" fieldPosition="0">
        <references count="4">
          <reference field="1" count="1" selected="0">
            <x v="119"/>
          </reference>
          <reference field="7" count="1" selected="0">
            <x v="6"/>
          </reference>
          <reference field="8" count="1" selected="0">
            <x v="99"/>
          </reference>
          <reference field="11" count="1">
            <x v="33"/>
          </reference>
        </references>
      </pivotArea>
    </format>
    <format dxfId="681">
      <pivotArea dataOnly="0" labelOnly="1" outline="0" fieldPosition="0">
        <references count="4">
          <reference field="1" count="1" selected="0">
            <x v="120"/>
          </reference>
          <reference field="7" count="1" selected="0">
            <x v="6"/>
          </reference>
          <reference field="8" count="1" selected="0">
            <x v="158"/>
          </reference>
          <reference field="11" count="1">
            <x v="68"/>
          </reference>
        </references>
      </pivotArea>
    </format>
    <format dxfId="680">
      <pivotArea dataOnly="0" labelOnly="1" outline="0" fieldPosition="0">
        <references count="4">
          <reference field="1" count="1" selected="0">
            <x v="134"/>
          </reference>
          <reference field="7" count="1" selected="0">
            <x v="6"/>
          </reference>
          <reference field="8" count="1" selected="0">
            <x v="158"/>
          </reference>
          <reference field="11" count="1">
            <x v="64"/>
          </reference>
        </references>
      </pivotArea>
    </format>
    <format dxfId="679">
      <pivotArea dataOnly="0" labelOnly="1" outline="0" fieldPosition="0">
        <references count="4">
          <reference field="1" count="1" selected="0">
            <x v="135"/>
          </reference>
          <reference field="7" count="1" selected="0">
            <x v="6"/>
          </reference>
          <reference field="8" count="1" selected="0">
            <x v="158"/>
          </reference>
          <reference field="11" count="1">
            <x v="45"/>
          </reference>
        </references>
      </pivotArea>
    </format>
    <format dxfId="678">
      <pivotArea dataOnly="0" labelOnly="1" outline="0" fieldPosition="0">
        <references count="4">
          <reference field="1" count="1" selected="0">
            <x v="136"/>
          </reference>
          <reference field="7" count="1" selected="0">
            <x v="6"/>
          </reference>
          <reference field="8" count="1" selected="0">
            <x v="158"/>
          </reference>
          <reference field="11" count="1">
            <x v="8"/>
          </reference>
        </references>
      </pivotArea>
    </format>
    <format dxfId="677">
      <pivotArea dataOnly="0" labelOnly="1" outline="0" fieldPosition="0">
        <references count="4">
          <reference field="1" count="1" selected="0">
            <x v="144"/>
          </reference>
          <reference field="7" count="1" selected="0">
            <x v="6"/>
          </reference>
          <reference field="8" count="1" selected="0">
            <x v="158"/>
          </reference>
          <reference field="11" count="1">
            <x v="24"/>
          </reference>
        </references>
      </pivotArea>
    </format>
    <format dxfId="676">
      <pivotArea dataOnly="0" labelOnly="1" outline="0" fieldPosition="0">
        <references count="4">
          <reference field="1" count="1" selected="0">
            <x v="145"/>
          </reference>
          <reference field="7" count="1" selected="0">
            <x v="6"/>
          </reference>
          <reference field="8" count="1" selected="0">
            <x v="158"/>
          </reference>
          <reference field="11" count="1">
            <x v="41"/>
          </reference>
        </references>
      </pivotArea>
    </format>
    <format dxfId="675">
      <pivotArea dataOnly="0" labelOnly="1" outline="0" fieldPosition="0">
        <references count="4">
          <reference field="1" count="1" selected="0">
            <x v="150"/>
          </reference>
          <reference field="7" count="1" selected="0">
            <x v="6"/>
          </reference>
          <reference field="8" count="1" selected="0">
            <x v="158"/>
          </reference>
          <reference field="11" count="1">
            <x v="43"/>
          </reference>
        </references>
      </pivotArea>
    </format>
    <format dxfId="674">
      <pivotArea dataOnly="0" labelOnly="1" outline="0" fieldPosition="0">
        <references count="4">
          <reference field="1" count="1" selected="0">
            <x v="151"/>
          </reference>
          <reference field="7" count="1" selected="0">
            <x v="6"/>
          </reference>
          <reference field="8" count="1" selected="0">
            <x v="158"/>
          </reference>
          <reference field="11" count="1">
            <x v="13"/>
          </reference>
        </references>
      </pivotArea>
    </format>
    <format dxfId="673">
      <pivotArea dataOnly="0" labelOnly="1" outline="0" fieldPosition="0">
        <references count="4">
          <reference field="1" count="1" selected="0">
            <x v="176"/>
          </reference>
          <reference field="7" count="1" selected="0">
            <x v="6"/>
          </reference>
          <reference field="8" count="1" selected="0">
            <x v="158"/>
          </reference>
          <reference field="11" count="1">
            <x v="45"/>
          </reference>
        </references>
      </pivotArea>
    </format>
    <format dxfId="672">
      <pivotArea dataOnly="0" labelOnly="1" outline="0" fieldPosition="0">
        <references count="4">
          <reference field="1" count="1" selected="0">
            <x v="177"/>
          </reference>
          <reference field="7" count="1" selected="0">
            <x v="6"/>
          </reference>
          <reference field="8" count="1" selected="0">
            <x v="158"/>
          </reference>
          <reference field="11" count="1">
            <x v="65"/>
          </reference>
        </references>
      </pivotArea>
    </format>
    <format dxfId="671">
      <pivotArea dataOnly="0" labelOnly="1" outline="0" fieldPosition="0">
        <references count="4">
          <reference field="1" count="1" selected="0">
            <x v="178"/>
          </reference>
          <reference field="7" count="1" selected="0">
            <x v="6"/>
          </reference>
          <reference field="8" count="1" selected="0">
            <x v="158"/>
          </reference>
          <reference field="11" count="1">
            <x v="0"/>
          </reference>
        </references>
      </pivotArea>
    </format>
    <format dxfId="670">
      <pivotArea dataOnly="0" labelOnly="1" outline="0" fieldPosition="0">
        <references count="4">
          <reference field="1" count="1" selected="0">
            <x v="180"/>
          </reference>
          <reference field="7" count="1" selected="0">
            <x v="6"/>
          </reference>
          <reference field="8" count="1" selected="0">
            <x v="158"/>
          </reference>
          <reference field="11" count="1">
            <x v="19"/>
          </reference>
        </references>
      </pivotArea>
    </format>
    <format dxfId="669">
      <pivotArea dataOnly="0" labelOnly="1" outline="0" fieldPosition="0">
        <references count="4">
          <reference field="1" count="1" selected="0">
            <x v="181"/>
          </reference>
          <reference field="7" count="1" selected="0">
            <x v="6"/>
          </reference>
          <reference field="8" count="1" selected="0">
            <x v="158"/>
          </reference>
          <reference field="11" count="1">
            <x v="23"/>
          </reference>
        </references>
      </pivotArea>
    </format>
    <format dxfId="668">
      <pivotArea dataOnly="0" labelOnly="1" outline="0" fieldPosition="0">
        <references count="4">
          <reference field="1" count="1" selected="0">
            <x v="209"/>
          </reference>
          <reference field="7" count="1" selected="0">
            <x v="6"/>
          </reference>
          <reference field="8" count="1" selected="0">
            <x v="68"/>
          </reference>
          <reference field="11" count="1">
            <x v="74"/>
          </reference>
        </references>
      </pivotArea>
    </format>
    <format dxfId="667">
      <pivotArea dataOnly="0" labelOnly="1" outline="0" fieldPosition="0">
        <references count="4">
          <reference field="1" count="1" selected="0">
            <x v="212"/>
          </reference>
          <reference field="7" count="1" selected="0">
            <x v="6"/>
          </reference>
          <reference field="8" count="1" selected="0">
            <x v="154"/>
          </reference>
          <reference field="11" count="1">
            <x v="72"/>
          </reference>
        </references>
      </pivotArea>
    </format>
    <format dxfId="666">
      <pivotArea dataOnly="0" labelOnly="1" outline="0" fieldPosition="0">
        <references count="4">
          <reference field="1" count="1" selected="0">
            <x v="213"/>
          </reference>
          <reference field="7" count="1" selected="0">
            <x v="6"/>
          </reference>
          <reference field="8" count="1" selected="0">
            <x v="153"/>
          </reference>
          <reference field="11" count="1">
            <x v="75"/>
          </reference>
        </references>
      </pivotArea>
    </format>
    <format dxfId="665">
      <pivotArea dataOnly="0" labelOnly="1" outline="0" fieldPosition="0">
        <references count="4">
          <reference field="1" count="1" selected="0">
            <x v="215"/>
          </reference>
          <reference field="7" count="1" selected="0">
            <x v="6"/>
          </reference>
          <reference field="8" count="1" selected="0">
            <x v="158"/>
          </reference>
          <reference field="11" count="1">
            <x v="54"/>
          </reference>
        </references>
      </pivotArea>
    </format>
    <format dxfId="664">
      <pivotArea dataOnly="0" labelOnly="1" outline="0" fieldPosition="0">
        <references count="4">
          <reference field="1" count="1" selected="0">
            <x v="221"/>
          </reference>
          <reference field="7" count="1" selected="0">
            <x v="6"/>
          </reference>
          <reference field="8" count="1" selected="0">
            <x v="158"/>
          </reference>
          <reference field="11" count="1">
            <x v="85"/>
          </reference>
        </references>
      </pivotArea>
    </format>
    <format dxfId="663">
      <pivotArea dataOnly="0" labelOnly="1" outline="0" fieldPosition="0">
        <references count="4">
          <reference field="1" count="1" selected="0">
            <x v="243"/>
          </reference>
          <reference field="7" count="1" selected="0">
            <x v="6"/>
          </reference>
          <reference field="8" count="1" selected="0">
            <x v="93"/>
          </reference>
          <reference field="11" count="1">
            <x v="128"/>
          </reference>
        </references>
      </pivotArea>
    </format>
    <format dxfId="662">
      <pivotArea dataOnly="0" labelOnly="1" outline="0" fieldPosition="0">
        <references count="4">
          <reference field="1" count="1" selected="0">
            <x v="244"/>
          </reference>
          <reference field="7" count="1" selected="0">
            <x v="6"/>
          </reference>
          <reference field="8" count="1" selected="0">
            <x v="94"/>
          </reference>
          <reference field="11" count="1">
            <x v="139"/>
          </reference>
        </references>
      </pivotArea>
    </format>
    <format dxfId="661">
      <pivotArea dataOnly="0" labelOnly="1" outline="0" fieldPosition="0">
        <references count="4">
          <reference field="1" count="1" selected="0">
            <x v="258"/>
          </reference>
          <reference field="7" count="1" selected="0">
            <x v="6"/>
          </reference>
          <reference field="8" count="1" selected="0">
            <x v="158"/>
          </reference>
          <reference field="11" count="1">
            <x v="57"/>
          </reference>
        </references>
      </pivotArea>
    </format>
    <format dxfId="660">
      <pivotArea dataOnly="0" labelOnly="1" outline="0" fieldPosition="0">
        <references count="4">
          <reference field="1" count="1" selected="0">
            <x v="260"/>
          </reference>
          <reference field="7" count="1" selected="0">
            <x v="6"/>
          </reference>
          <reference field="8" count="1" selected="0">
            <x v="21"/>
          </reference>
          <reference field="11" count="1">
            <x v="61"/>
          </reference>
        </references>
      </pivotArea>
    </format>
    <format dxfId="659">
      <pivotArea dataOnly="0" labelOnly="1" outline="0" fieldPosition="0">
        <references count="4">
          <reference field="1" count="1" selected="0">
            <x v="262"/>
          </reference>
          <reference field="7" count="1" selected="0">
            <x v="6"/>
          </reference>
          <reference field="8" count="1" selected="0">
            <x v="158"/>
          </reference>
          <reference field="11" count="1">
            <x v="59"/>
          </reference>
        </references>
      </pivotArea>
    </format>
    <format dxfId="658">
      <pivotArea dataOnly="0" labelOnly="1" outline="0" fieldPosition="0">
        <references count="4">
          <reference field="1" count="1" selected="0">
            <x v="59"/>
          </reference>
          <reference field="7" count="1" selected="0">
            <x v="7"/>
          </reference>
          <reference field="8" count="1" selected="0">
            <x v="120"/>
          </reference>
          <reference field="11" count="1">
            <x v="88"/>
          </reference>
        </references>
      </pivotArea>
    </format>
    <format dxfId="657">
      <pivotArea dataOnly="0" labelOnly="1" outline="0" fieldPosition="0">
        <references count="4">
          <reference field="1" count="1" selected="0">
            <x v="62"/>
          </reference>
          <reference field="7" count="1" selected="0">
            <x v="7"/>
          </reference>
          <reference field="8" count="1" selected="0">
            <x v="123"/>
          </reference>
          <reference field="11" count="1">
            <x v="90"/>
          </reference>
        </references>
      </pivotArea>
    </format>
    <format dxfId="656">
      <pivotArea dataOnly="0" labelOnly="1" outline="0" fieldPosition="0">
        <references count="4">
          <reference field="1" count="1" selected="0">
            <x v="71"/>
          </reference>
          <reference field="7" count="1" selected="0">
            <x v="7"/>
          </reference>
          <reference field="8" count="1" selected="0">
            <x v="125"/>
          </reference>
          <reference field="11" count="1">
            <x v="110"/>
          </reference>
        </references>
      </pivotArea>
    </format>
    <format dxfId="655">
      <pivotArea dataOnly="0" labelOnly="1" outline="0" fieldPosition="0">
        <references count="4">
          <reference field="1" count="1" selected="0">
            <x v="72"/>
          </reference>
          <reference field="7" count="1" selected="0">
            <x v="7"/>
          </reference>
          <reference field="8" count="1" selected="0">
            <x v="126"/>
          </reference>
          <reference field="11" count="1">
            <x v="98"/>
          </reference>
        </references>
      </pivotArea>
    </format>
    <format dxfId="654">
      <pivotArea dataOnly="0" labelOnly="1" outline="0" fieldPosition="0">
        <references count="4">
          <reference field="1" count="1" selected="0">
            <x v="74"/>
          </reference>
          <reference field="7" count="1" selected="0">
            <x v="7"/>
          </reference>
          <reference field="8" count="1" selected="0">
            <x v="128"/>
          </reference>
          <reference field="11" count="1">
            <x v="90"/>
          </reference>
        </references>
      </pivotArea>
    </format>
    <format dxfId="653">
      <pivotArea dataOnly="0" labelOnly="1" outline="0" fieldPosition="0">
        <references count="4">
          <reference field="1" count="1" selected="0">
            <x v="149"/>
          </reference>
          <reference field="7" count="1" selected="0">
            <x v="7"/>
          </reference>
          <reference field="8" count="1" selected="0">
            <x v="158"/>
          </reference>
          <reference field="11" count="1">
            <x v="122"/>
          </reference>
        </references>
      </pivotArea>
    </format>
    <format dxfId="652">
      <pivotArea dataOnly="0" labelOnly="1" outline="0" fieldPosition="0">
        <references count="4">
          <reference field="1" count="1" selected="0">
            <x v="164"/>
          </reference>
          <reference field="7" count="1" selected="0">
            <x v="7"/>
          </reference>
          <reference field="8" count="1" selected="0">
            <x v="47"/>
          </reference>
          <reference field="11" count="1">
            <x v="28"/>
          </reference>
        </references>
      </pivotArea>
    </format>
    <format dxfId="651">
      <pivotArea dataOnly="0" labelOnly="1" outline="0" fieldPosition="0">
        <references count="4">
          <reference field="1" count="1" selected="0">
            <x v="188"/>
          </reference>
          <reference field="7" count="1" selected="0">
            <x v="7"/>
          </reference>
          <reference field="8" count="1" selected="0">
            <x v="115"/>
          </reference>
          <reference field="11" count="1">
            <x v="84"/>
          </reference>
        </references>
      </pivotArea>
    </format>
    <format dxfId="650">
      <pivotArea dataOnly="0" labelOnly="1" outline="0" fieldPosition="0">
        <references count="4">
          <reference field="1" count="1" selected="0">
            <x v="64"/>
          </reference>
          <reference field="7" count="1" selected="0">
            <x v="8"/>
          </reference>
          <reference field="8" count="1" selected="0">
            <x v="83"/>
          </reference>
          <reference field="11" count="1">
            <x v="71"/>
          </reference>
        </references>
      </pivotArea>
    </format>
    <format dxfId="649">
      <pivotArea dataOnly="0" labelOnly="1" outline="0" fieldPosition="0">
        <references count="4">
          <reference field="1" count="1" selected="0">
            <x v="183"/>
          </reference>
          <reference field="7" count="1" selected="0">
            <x v="8"/>
          </reference>
          <reference field="8" count="1" selected="0">
            <x v="74"/>
          </reference>
          <reference field="11" count="1">
            <x v="131"/>
          </reference>
        </references>
      </pivotArea>
    </format>
    <format dxfId="648">
      <pivotArea dataOnly="0" labelOnly="1" outline="0" fieldPosition="0">
        <references count="4">
          <reference field="1" count="1" selected="0">
            <x v="54"/>
          </reference>
          <reference field="7" count="1" selected="0">
            <x v="9"/>
          </reference>
          <reference field="8" count="1" selected="0">
            <x v="158"/>
          </reference>
          <reference field="11" count="1">
            <x v="0"/>
          </reference>
        </references>
      </pivotArea>
    </format>
    <format dxfId="647">
      <pivotArea dataOnly="0" labelOnly="1" outline="0" fieldPosition="0">
        <references count="4">
          <reference field="1" count="1" selected="0">
            <x v="226"/>
          </reference>
          <reference field="7" count="1" selected="0">
            <x v="9"/>
          </reference>
          <reference field="8" count="1" selected="0">
            <x v="158"/>
          </reference>
          <reference field="11" count="1">
            <x v="161"/>
          </reference>
        </references>
      </pivotArea>
    </format>
    <format dxfId="646">
      <pivotArea dataOnly="0" labelOnly="1" outline="0" fieldPosition="0">
        <references count="4">
          <reference field="1" count="1" selected="0">
            <x v="234"/>
          </reference>
          <reference field="7" count="1" selected="0">
            <x v="9"/>
          </reference>
          <reference field="8" count="1" selected="0">
            <x v="16"/>
          </reference>
          <reference field="11" count="1">
            <x v="0"/>
          </reference>
        </references>
      </pivotArea>
    </format>
    <format dxfId="645">
      <pivotArea dataOnly="0" labelOnly="1" outline="0" fieldPosition="0">
        <references count="4">
          <reference field="1" count="1" selected="0">
            <x v="45"/>
          </reference>
          <reference field="7" count="1" selected="0">
            <x v="10"/>
          </reference>
          <reference field="8" count="1" selected="0">
            <x v="118"/>
          </reference>
          <reference field="11" count="1">
            <x v="78"/>
          </reference>
        </references>
      </pivotArea>
    </format>
    <format dxfId="644">
      <pivotArea dataOnly="0" labelOnly="1" outline="0" fieldPosition="0">
        <references count="4">
          <reference field="1" count="1" selected="0">
            <x v="61"/>
          </reference>
          <reference field="7" count="1" selected="0">
            <x v="10"/>
          </reference>
          <reference field="8" count="1" selected="0">
            <x v="122"/>
          </reference>
          <reference field="11" count="1">
            <x v="118"/>
          </reference>
        </references>
      </pivotArea>
    </format>
    <format dxfId="643">
      <pivotArea dataOnly="0" labelOnly="1" outline="0" fieldPosition="0">
        <references count="4">
          <reference field="1" count="1" selected="0">
            <x v="86"/>
          </reference>
          <reference field="7" count="1" selected="0">
            <x v="10"/>
          </reference>
          <reference field="8" count="1" selected="0">
            <x v="119"/>
          </reference>
          <reference field="11" count="1">
            <x v="116"/>
          </reference>
        </references>
      </pivotArea>
    </format>
    <format dxfId="642">
      <pivotArea dataOnly="0" labelOnly="1" outline="0" fieldPosition="0">
        <references count="4">
          <reference field="1" count="1" selected="0">
            <x v="98"/>
          </reference>
          <reference field="7" count="1" selected="0">
            <x v="10"/>
          </reference>
          <reference field="8" count="1" selected="0">
            <x v="134"/>
          </reference>
          <reference field="11" count="1">
            <x v="104"/>
          </reference>
        </references>
      </pivotArea>
    </format>
    <format dxfId="641">
      <pivotArea dataOnly="0" labelOnly="1" outline="0" fieldPosition="0">
        <references count="4">
          <reference field="1" count="1" selected="0">
            <x v="155"/>
          </reference>
          <reference field="7" count="1" selected="0">
            <x v="10"/>
          </reference>
          <reference field="8" count="1" selected="0">
            <x v="158"/>
          </reference>
          <reference field="11" count="1">
            <x v="94"/>
          </reference>
        </references>
      </pivotArea>
    </format>
    <format dxfId="640">
      <pivotArea dataOnly="0" labelOnly="1" outline="0" fieldPosition="0">
        <references count="4">
          <reference field="1" count="1" selected="0">
            <x v="239"/>
          </reference>
          <reference field="7" count="1" selected="0">
            <x v="10"/>
          </reference>
          <reference field="8" count="1" selected="0">
            <x v="117"/>
          </reference>
          <reference field="11" count="1">
            <x v="73"/>
          </reference>
        </references>
      </pivotArea>
    </format>
    <format dxfId="639">
      <pivotArea dataOnly="0" labelOnly="1" outline="0" fieldPosition="0">
        <references count="4">
          <reference field="1" count="1" selected="0">
            <x v="165"/>
          </reference>
          <reference field="7" count="1" selected="0">
            <x v="11"/>
          </reference>
          <reference field="8" count="1" selected="0">
            <x v="155"/>
          </reference>
          <reference field="11" count="1">
            <x v="7"/>
          </reference>
        </references>
      </pivotArea>
    </format>
    <format dxfId="638">
      <pivotArea dataOnly="0" labelOnly="1" outline="0" fieldPosition="0">
        <references count="4">
          <reference field="1" count="1" selected="0">
            <x v="166"/>
          </reference>
          <reference field="7" count="1" selected="0">
            <x v="11"/>
          </reference>
          <reference field="8" count="1" selected="0">
            <x v="155"/>
          </reference>
          <reference field="11" count="1">
            <x v="6"/>
          </reference>
        </references>
      </pivotArea>
    </format>
    <format dxfId="637">
      <pivotArea dataOnly="0" labelOnly="1" outline="0" fieldPosition="0">
        <references count="4">
          <reference field="1" count="1" selected="0">
            <x v="167"/>
          </reference>
          <reference field="7" count="1" selected="0">
            <x v="11"/>
          </reference>
          <reference field="8" count="1" selected="0">
            <x v="82"/>
          </reference>
          <reference field="11" count="1">
            <x v="14"/>
          </reference>
        </references>
      </pivotArea>
    </format>
    <format dxfId="636">
      <pivotArea dataOnly="0" labelOnly="1" outline="0" fieldPosition="0">
        <references count="4">
          <reference field="1" count="1" selected="0">
            <x v="168"/>
          </reference>
          <reference field="7" count="1" selected="0">
            <x v="11"/>
          </reference>
          <reference field="8" count="1" selected="0">
            <x v="158"/>
          </reference>
          <reference field="11" count="1">
            <x v="24"/>
          </reference>
        </references>
      </pivotArea>
    </format>
    <format dxfId="635">
      <pivotArea dataOnly="0" labelOnly="1" outline="0" fieldPosition="0">
        <references count="4">
          <reference field="1" count="1" selected="0">
            <x v="170"/>
          </reference>
          <reference field="7" count="1" selected="0">
            <x v="11"/>
          </reference>
          <reference field="8" count="1" selected="0">
            <x v="156"/>
          </reference>
          <reference field="11" count="1">
            <x v="12"/>
          </reference>
        </references>
      </pivotArea>
    </format>
    <format dxfId="634">
      <pivotArea dataOnly="0" labelOnly="1" outline="0" fieldPosition="0">
        <references count="4">
          <reference field="1" count="1" selected="0">
            <x v="171"/>
          </reference>
          <reference field="7" count="1" selected="0">
            <x v="11"/>
          </reference>
          <reference field="8" count="1" selected="0">
            <x v="158"/>
          </reference>
          <reference field="11" count="1">
            <x v="27"/>
          </reference>
        </references>
      </pivotArea>
    </format>
    <format dxfId="633">
      <pivotArea dataOnly="0" labelOnly="1" outline="0" fieldPosition="0">
        <references count="4">
          <reference field="1" count="1" selected="0">
            <x v="172"/>
          </reference>
          <reference field="7" count="1" selected="0">
            <x v="11"/>
          </reference>
          <reference field="8" count="1" selected="0">
            <x v="81"/>
          </reference>
          <reference field="11" count="1">
            <x v="16"/>
          </reference>
        </references>
      </pivotArea>
    </format>
    <format dxfId="632">
      <pivotArea dataOnly="0" labelOnly="1" outline="0" fieldPosition="0">
        <references count="4">
          <reference field="1" count="1" selected="0">
            <x v="204"/>
          </reference>
          <reference field="7" count="1" selected="0">
            <x v="11"/>
          </reference>
          <reference field="8" count="1" selected="0">
            <x v="158"/>
          </reference>
          <reference field="11" count="1">
            <x v="50"/>
          </reference>
        </references>
      </pivotArea>
    </format>
    <format dxfId="631">
      <pivotArea dataOnly="0" labelOnly="1" outline="0" fieldPosition="0">
        <references count="4">
          <reference field="1" count="1" selected="0">
            <x v="84"/>
          </reference>
          <reference field="7" count="1" selected="0">
            <x v="12"/>
          </reference>
          <reference field="8" count="1" selected="0">
            <x v="132"/>
          </reference>
          <reference field="11" count="1">
            <x v="119"/>
          </reference>
        </references>
      </pivotArea>
    </format>
    <format dxfId="630">
      <pivotArea dataOnly="0" labelOnly="1" outline="0" fieldPosition="0">
        <references count="4">
          <reference field="1" count="1" selected="0">
            <x v="184"/>
          </reference>
          <reference field="7" count="1" selected="0">
            <x v="12"/>
          </reference>
          <reference field="8" count="1" selected="0">
            <x v="112"/>
          </reference>
          <reference field="11" count="1">
            <x v="115"/>
          </reference>
        </references>
      </pivotArea>
    </format>
    <format dxfId="629">
      <pivotArea dataOnly="0" labelOnly="1" outline="0" fieldPosition="0">
        <references count="4">
          <reference field="1" count="1" selected="0">
            <x v="185"/>
          </reference>
          <reference field="7" count="1" selected="0">
            <x v="12"/>
          </reference>
          <reference field="8" count="1" selected="0">
            <x v="114"/>
          </reference>
          <reference field="11" count="1">
            <x v="137"/>
          </reference>
        </references>
      </pivotArea>
    </format>
    <format dxfId="628">
      <pivotArea dataOnly="0" labelOnly="1" outline="0" fieldPosition="0">
        <references count="4">
          <reference field="1" count="1" selected="0">
            <x v="95"/>
          </reference>
          <reference field="7" count="1" selected="0">
            <x v="13"/>
          </reference>
          <reference field="8" count="1" selected="0">
            <x v="38"/>
          </reference>
          <reference field="11" count="1">
            <x v="158"/>
          </reference>
        </references>
      </pivotArea>
    </format>
    <format dxfId="627">
      <pivotArea dataOnly="0" labelOnly="1" outline="0" fieldPosition="0">
        <references count="4">
          <reference field="1" count="1" selected="0">
            <x v="96"/>
          </reference>
          <reference field="7" count="1" selected="0">
            <x v="13"/>
          </reference>
          <reference field="8" count="1" selected="0">
            <x v="88"/>
          </reference>
          <reference field="11" count="1">
            <x v="157"/>
          </reference>
        </references>
      </pivotArea>
    </format>
    <format dxfId="626">
      <pivotArea dataOnly="0" labelOnly="1" outline="0" fieldPosition="0">
        <references count="4">
          <reference field="1" count="1" selected="0">
            <x v="97"/>
          </reference>
          <reference field="7" count="1" selected="0">
            <x v="13"/>
          </reference>
          <reference field="8" count="1" selected="0">
            <x v="63"/>
          </reference>
          <reference field="11" count="1">
            <x v="147"/>
          </reference>
        </references>
      </pivotArea>
    </format>
    <format dxfId="625">
      <pivotArea dataOnly="0" labelOnly="1" outline="0" fieldPosition="0">
        <references count="4">
          <reference field="1" count="1" selected="0">
            <x v="238"/>
          </reference>
          <reference field="7" count="1" selected="0">
            <x v="13"/>
          </reference>
          <reference field="8" count="1" selected="0">
            <x v="10"/>
          </reference>
          <reference field="11" count="1">
            <x v="103"/>
          </reference>
        </references>
      </pivotArea>
    </format>
    <format dxfId="624">
      <pivotArea dataOnly="0" labelOnly="1" outline="0" fieldPosition="0">
        <references count="4">
          <reference field="1" count="1" selected="0">
            <x v="40"/>
          </reference>
          <reference field="7" count="1" selected="0">
            <x v="14"/>
          </reference>
          <reference field="8" count="1" selected="0">
            <x v="1"/>
          </reference>
          <reference field="11" count="1">
            <x v="77"/>
          </reference>
        </references>
      </pivotArea>
    </format>
    <format dxfId="623">
      <pivotArea dataOnly="0" labelOnly="1" outline="0" fieldPosition="0">
        <references count="4">
          <reference field="1" count="1" selected="0">
            <x v="203"/>
          </reference>
          <reference field="7" count="1" selected="0">
            <x v="14"/>
          </reference>
          <reference field="8" count="1" selected="0">
            <x v="15"/>
          </reference>
          <reference field="11" count="1">
            <x v="100"/>
          </reference>
        </references>
      </pivotArea>
    </format>
    <format dxfId="622">
      <pivotArea dataOnly="0" labelOnly="1" outline="0" fieldPosition="0">
        <references count="4">
          <reference field="1" count="1" selected="0">
            <x v="246"/>
          </reference>
          <reference field="7" count="1" selected="0">
            <x v="14"/>
          </reference>
          <reference field="8" count="1" selected="0">
            <x v="109"/>
          </reference>
          <reference field="11" count="1">
            <x v="112"/>
          </reference>
        </references>
      </pivotArea>
    </format>
    <format dxfId="621">
      <pivotArea dataOnly="0" labelOnly="1" outline="0" fieldPosition="0">
        <references count="4">
          <reference field="1" count="1" selected="0">
            <x v="88"/>
          </reference>
          <reference field="7" count="1" selected="0">
            <x v="15"/>
          </reference>
          <reference field="8" count="1" selected="0">
            <x v="57"/>
          </reference>
          <reference field="11" count="1">
            <x v="63"/>
          </reference>
        </references>
      </pivotArea>
    </format>
    <format dxfId="620">
      <pivotArea dataOnly="0" labelOnly="1" outline="0" fieldPosition="0">
        <references count="4">
          <reference field="1" count="1" selected="0">
            <x v="89"/>
          </reference>
          <reference field="7" count="1" selected="0">
            <x v="15"/>
          </reference>
          <reference field="8" count="1" selected="0">
            <x v="86"/>
          </reference>
          <reference field="11" count="1">
            <x v="44"/>
          </reference>
        </references>
      </pivotArea>
    </format>
    <format dxfId="619">
      <pivotArea dataOnly="0" labelOnly="1" outline="0" fieldPosition="0">
        <references count="4">
          <reference field="1" count="1" selected="0">
            <x v="91"/>
          </reference>
          <reference field="7" count="1" selected="0">
            <x v="15"/>
          </reference>
          <reference field="8" count="1" selected="0">
            <x v="158"/>
          </reference>
          <reference field="11" count="1">
            <x v="144"/>
          </reference>
        </references>
      </pivotArea>
    </format>
    <format dxfId="618">
      <pivotArea dataOnly="0" labelOnly="1" outline="0" fieldPosition="0">
        <references count="4">
          <reference field="1" count="1" selected="0">
            <x v="100"/>
          </reference>
          <reference field="7" count="1" selected="0">
            <x v="15"/>
          </reference>
          <reference field="8" count="1" selected="0">
            <x v="37"/>
          </reference>
          <reference field="11" count="1">
            <x v="129"/>
          </reference>
        </references>
      </pivotArea>
    </format>
    <format dxfId="617">
      <pivotArea dataOnly="0" labelOnly="1" outline="0" fieldPosition="0">
        <references count="4">
          <reference field="1" count="1" selected="0">
            <x v="125"/>
          </reference>
          <reference field="7" count="1" selected="0">
            <x v="15"/>
          </reference>
          <reference field="8" count="1" selected="0">
            <x v="103"/>
          </reference>
          <reference field="11" count="1">
            <x v="97"/>
          </reference>
        </references>
      </pivotArea>
    </format>
    <format dxfId="616">
      <pivotArea dataOnly="0" labelOnly="1" outline="0" fieldPosition="0">
        <references count="4">
          <reference field="1" count="1" selected="0">
            <x v="126"/>
          </reference>
          <reference field="7" count="1" selected="0">
            <x v="15"/>
          </reference>
          <reference field="8" count="1" selected="0">
            <x v="107"/>
          </reference>
          <reference field="11" count="1">
            <x v="55"/>
          </reference>
        </references>
      </pivotArea>
    </format>
    <format dxfId="615">
      <pivotArea dataOnly="0" labelOnly="1" outline="0" fieldPosition="0">
        <references count="4">
          <reference field="1" count="1" selected="0">
            <x v="257"/>
          </reference>
          <reference field="7" count="1" selected="0">
            <x v="15"/>
          </reference>
          <reference field="8" count="1" selected="0">
            <x v="12"/>
          </reference>
          <reference field="11" count="1">
            <x v="135"/>
          </reference>
        </references>
      </pivotArea>
    </format>
    <format dxfId="614">
      <pivotArea dataOnly="0" labelOnly="1" outline="0" fieldPosition="0">
        <references count="4">
          <reference field="1" count="1" selected="0">
            <x v="265"/>
          </reference>
          <reference field="7" count="1" selected="0">
            <x v="15"/>
          </reference>
          <reference field="8" count="1" selected="0">
            <x v="104"/>
          </reference>
          <reference field="11" count="1">
            <x v="76"/>
          </reference>
        </references>
      </pivotArea>
    </format>
    <format dxfId="613">
      <pivotArea dataOnly="0" labelOnly="1" outline="0" fieldPosition="0">
        <references count="4">
          <reference field="1" count="1" selected="0">
            <x v="266"/>
          </reference>
          <reference field="7" count="1" selected="0">
            <x v="15"/>
          </reference>
          <reference field="8" count="1" selected="0">
            <x v="89"/>
          </reference>
          <reference field="11" count="1">
            <x v="107"/>
          </reference>
        </references>
      </pivotArea>
    </format>
    <format dxfId="612">
      <pivotArea dataOnly="0" labelOnly="1" outline="0" fieldPosition="0">
        <references count="4">
          <reference field="1" count="1" selected="0">
            <x v="267"/>
          </reference>
          <reference field="7" count="1" selected="0">
            <x v="15"/>
          </reference>
          <reference field="8" count="1" selected="0">
            <x v="139"/>
          </reference>
          <reference field="11" count="1">
            <x v="58"/>
          </reference>
        </references>
      </pivotArea>
    </format>
    <format dxfId="611">
      <pivotArea dataOnly="0" labelOnly="1" outline="0" fieldPosition="0">
        <references count="4">
          <reference field="1" count="1" selected="0">
            <x v="268"/>
          </reference>
          <reference field="7" count="1" selected="0">
            <x v="15"/>
          </reference>
          <reference field="8" count="1" selected="0">
            <x v="140"/>
          </reference>
          <reference field="11" count="1">
            <x v="87"/>
          </reference>
        </references>
      </pivotArea>
    </format>
    <format dxfId="610">
      <pivotArea dataOnly="0" labelOnly="1" outline="0" fieldPosition="0">
        <references count="4">
          <reference field="1" count="1" selected="0">
            <x v="6"/>
          </reference>
          <reference field="7" count="1" selected="0">
            <x v="16"/>
          </reference>
          <reference field="8" count="1" selected="0">
            <x v="111"/>
          </reference>
          <reference field="11" count="1">
            <x v="1"/>
          </reference>
        </references>
      </pivotArea>
    </format>
    <format dxfId="609">
      <pivotArea dataOnly="0" labelOnly="1" outline="0" fieldPosition="0">
        <references count="4">
          <reference field="1" count="1" selected="0">
            <x v="7"/>
          </reference>
          <reference field="7" count="1" selected="0">
            <x v="16"/>
          </reference>
          <reference field="8" count="1" selected="0">
            <x v="158"/>
          </reference>
          <reference field="11" count="1">
            <x v="24"/>
          </reference>
        </references>
      </pivotArea>
    </format>
    <format dxfId="608">
      <pivotArea dataOnly="0" labelOnly="1" outline="0" fieldPosition="0">
        <references count="4">
          <reference field="1" count="1" selected="0">
            <x v="8"/>
          </reference>
          <reference field="7" count="1" selected="0">
            <x v="16"/>
          </reference>
          <reference field="8" count="1" selected="0">
            <x v="111"/>
          </reference>
          <reference field="11" count="1">
            <x v="1"/>
          </reference>
        </references>
      </pivotArea>
    </format>
    <format dxfId="607">
      <pivotArea dataOnly="0" labelOnly="1" outline="0" fieldPosition="0">
        <references count="4">
          <reference field="1" count="1" selected="0">
            <x v="9"/>
          </reference>
          <reference field="7" count="1" selected="0">
            <x v="16"/>
          </reference>
          <reference field="8" count="1" selected="0">
            <x v="158"/>
          </reference>
          <reference field="11" count="1">
            <x v="24"/>
          </reference>
        </references>
      </pivotArea>
    </format>
    <format dxfId="606">
      <pivotArea dataOnly="0" labelOnly="1" outline="0" fieldPosition="0">
        <references count="4">
          <reference field="1" count="1" selected="0">
            <x v="19"/>
          </reference>
          <reference field="7" count="1" selected="0">
            <x v="16"/>
          </reference>
          <reference field="8" count="1" selected="0">
            <x v="111"/>
          </reference>
          <reference field="11" count="1">
            <x v="1"/>
          </reference>
        </references>
      </pivotArea>
    </format>
    <format dxfId="605">
      <pivotArea dataOnly="0" labelOnly="1" outline="0" fieldPosition="0">
        <references count="4">
          <reference field="1" count="1" selected="0">
            <x v="20"/>
          </reference>
          <reference field="7" count="1" selected="0">
            <x v="16"/>
          </reference>
          <reference field="8" count="1" selected="0">
            <x v="158"/>
          </reference>
          <reference field="11" count="1">
            <x v="24"/>
          </reference>
        </references>
      </pivotArea>
    </format>
    <format dxfId="604">
      <pivotArea dataOnly="0" labelOnly="1" outline="0" fieldPosition="0">
        <references count="4">
          <reference field="1" count="1" selected="0">
            <x v="30"/>
          </reference>
          <reference field="7" count="1" selected="0">
            <x v="16"/>
          </reference>
          <reference field="8" count="1" selected="0">
            <x v="111"/>
          </reference>
          <reference field="11" count="1">
            <x v="1"/>
          </reference>
        </references>
      </pivotArea>
    </format>
    <format dxfId="603">
      <pivotArea dataOnly="0" labelOnly="1" outline="0" fieldPosition="0">
        <references count="4">
          <reference field="1" count="1" selected="0">
            <x v="39"/>
          </reference>
          <reference field="7" count="1" selected="0">
            <x v="16"/>
          </reference>
          <reference field="8" count="1" selected="0">
            <x v="158"/>
          </reference>
          <reference field="11" count="1">
            <x v="24"/>
          </reference>
        </references>
      </pivotArea>
    </format>
    <format dxfId="602">
      <pivotArea dataOnly="0" labelOnly="1" outline="0" fieldPosition="0">
        <references count="4">
          <reference field="1" count="1" selected="0">
            <x v="46"/>
          </reference>
          <reference field="7" count="1" selected="0">
            <x v="16"/>
          </reference>
          <reference field="8" count="1" selected="0">
            <x v="111"/>
          </reference>
          <reference field="11" count="1">
            <x v="1"/>
          </reference>
        </references>
      </pivotArea>
    </format>
    <format dxfId="601">
      <pivotArea dataOnly="0" labelOnly="1" outline="0" fieldPosition="0">
        <references count="4">
          <reference field="1" count="1" selected="0">
            <x v="51"/>
          </reference>
          <reference field="7" count="1" selected="0">
            <x v="16"/>
          </reference>
          <reference field="8" count="1" selected="0">
            <x v="158"/>
          </reference>
          <reference field="11" count="1">
            <x v="24"/>
          </reference>
        </references>
      </pivotArea>
    </format>
    <format dxfId="600">
      <pivotArea dataOnly="0" labelOnly="1" outline="0" fieldPosition="0">
        <references count="4">
          <reference field="1" count="1" selected="0">
            <x v="65"/>
          </reference>
          <reference field="7" count="1" selected="0">
            <x v="16"/>
          </reference>
          <reference field="8" count="1" selected="0">
            <x v="111"/>
          </reference>
          <reference field="11" count="1">
            <x v="1"/>
          </reference>
        </references>
      </pivotArea>
    </format>
    <format dxfId="599">
      <pivotArea dataOnly="0" labelOnly="1" outline="0" fieldPosition="0">
        <references count="4">
          <reference field="1" count="1" selected="0">
            <x v="66"/>
          </reference>
          <reference field="7" count="1" selected="0">
            <x v="16"/>
          </reference>
          <reference field="8" count="1" selected="0">
            <x v="158"/>
          </reference>
          <reference field="11" count="1">
            <x v="24"/>
          </reference>
        </references>
      </pivotArea>
    </format>
    <format dxfId="598">
      <pivotArea dataOnly="0" labelOnly="1" outline="0" fieldPosition="0">
        <references count="4">
          <reference field="1" count="1" selected="0">
            <x v="47"/>
          </reference>
          <reference field="7" count="1" selected="0">
            <x v="17"/>
          </reference>
          <reference field="8" count="1" selected="0">
            <x v="32"/>
          </reference>
          <reference field="11" count="1">
            <x v="142"/>
          </reference>
        </references>
      </pivotArea>
    </format>
    <format dxfId="597">
      <pivotArea dataOnly="0" labelOnly="1" outline="0" fieldPosition="0">
        <references count="4">
          <reference field="1" count="1" selected="0">
            <x v="48"/>
          </reference>
          <reference field="7" count="1" selected="0">
            <x v="17"/>
          </reference>
          <reference field="8" count="1" selected="0">
            <x v="76"/>
          </reference>
          <reference field="11" count="1">
            <x v="149"/>
          </reference>
        </references>
      </pivotArea>
    </format>
    <format dxfId="596">
      <pivotArea dataOnly="0" labelOnly="1" outline="0" fieldPosition="0">
        <references count="4">
          <reference field="1" count="1" selected="0">
            <x v="93"/>
          </reference>
          <reference field="7" count="1" selected="0">
            <x v="17"/>
          </reference>
          <reference field="8" count="1" selected="0">
            <x v="2"/>
          </reference>
          <reference field="11" count="1">
            <x v="92"/>
          </reference>
        </references>
      </pivotArea>
    </format>
    <format dxfId="595">
      <pivotArea dataOnly="0" labelOnly="1" outline="0" fieldPosition="0">
        <references count="4">
          <reference field="1" count="1" selected="0">
            <x v="94"/>
          </reference>
          <reference field="7" count="1" selected="0">
            <x v="17"/>
          </reference>
          <reference field="8" count="1" selected="0">
            <x v="92"/>
          </reference>
          <reference field="11" count="1">
            <x v="113"/>
          </reference>
        </references>
      </pivotArea>
    </format>
    <format dxfId="594">
      <pivotArea dataOnly="0" labelOnly="1" outline="0" fieldPosition="0">
        <references count="4">
          <reference field="1" count="1" selected="0">
            <x v="99"/>
          </reference>
          <reference field="7" count="1" selected="0">
            <x v="17"/>
          </reference>
          <reference field="8" count="1" selected="0">
            <x v="26"/>
          </reference>
          <reference field="11" count="1">
            <x v="151"/>
          </reference>
        </references>
      </pivotArea>
    </format>
    <format dxfId="593">
      <pivotArea dataOnly="0" labelOnly="1" outline="0" fieldPosition="0">
        <references count="4">
          <reference field="1" count="1" selected="0">
            <x v="118"/>
          </reference>
          <reference field="7" count="1" selected="0">
            <x v="17"/>
          </reference>
          <reference field="8" count="1" selected="0">
            <x v="13"/>
          </reference>
          <reference field="11" count="1">
            <x v="150"/>
          </reference>
        </references>
      </pivotArea>
    </format>
    <format dxfId="592">
      <pivotArea dataOnly="0" labelOnly="1" outline="0" fieldPosition="0">
        <references count="4">
          <reference field="1" count="1" selected="0">
            <x v="128"/>
          </reference>
          <reference field="7" count="1" selected="0">
            <x v="17"/>
          </reference>
          <reference field="8" count="1" selected="0">
            <x v="97"/>
          </reference>
          <reference field="11" count="1">
            <x v="133"/>
          </reference>
        </references>
      </pivotArea>
    </format>
    <format dxfId="591">
      <pivotArea dataOnly="0" labelOnly="1" outline="0" fieldPosition="0">
        <references count="4">
          <reference field="1" count="1" selected="0">
            <x v="133"/>
          </reference>
          <reference field="7" count="1" selected="0">
            <x v="17"/>
          </reference>
          <reference field="8" count="1" selected="0">
            <x v="31"/>
          </reference>
          <reference field="11" count="1">
            <x v="121"/>
          </reference>
        </references>
      </pivotArea>
    </format>
    <format dxfId="590">
      <pivotArea dataOnly="0" labelOnly="1" outline="0" fieldPosition="0">
        <references count="4">
          <reference field="1" count="1" selected="0">
            <x v="152"/>
          </reference>
          <reference field="7" count="1" selected="0">
            <x v="17"/>
          </reference>
          <reference field="8" count="1" selected="0">
            <x v="78"/>
          </reference>
          <reference field="11" count="1">
            <x v="134"/>
          </reference>
        </references>
      </pivotArea>
    </format>
    <format dxfId="589">
      <pivotArea dataOnly="0" labelOnly="1" outline="0" fieldPosition="0">
        <references count="4">
          <reference field="1" count="1" selected="0">
            <x v="153"/>
          </reference>
          <reference field="7" count="1" selected="0">
            <x v="17"/>
          </reference>
          <reference field="8" count="1" selected="0">
            <x v="79"/>
          </reference>
          <reference field="11" count="1">
            <x v="109"/>
          </reference>
        </references>
      </pivotArea>
    </format>
    <format dxfId="588">
      <pivotArea dataOnly="0" labelOnly="1" outline="0" fieldPosition="0">
        <references count="4">
          <reference field="1" count="1" selected="0">
            <x v="154"/>
          </reference>
          <reference field="7" count="1" selected="0">
            <x v="17"/>
          </reference>
          <reference field="8" count="1" selected="0">
            <x v="27"/>
          </reference>
          <reference field="11" count="1">
            <x v="124"/>
          </reference>
        </references>
      </pivotArea>
    </format>
    <format dxfId="587">
      <pivotArea dataOnly="0" labelOnly="1" outline="0" fieldPosition="0">
        <references count="4">
          <reference field="1" count="1" selected="0">
            <x v="158"/>
          </reference>
          <reference field="7" count="1" selected="0">
            <x v="17"/>
          </reference>
          <reference field="8" count="1" selected="0">
            <x v="41"/>
          </reference>
          <reference field="11" count="1">
            <x v="96"/>
          </reference>
        </references>
      </pivotArea>
    </format>
    <format dxfId="586">
      <pivotArea dataOnly="0" labelOnly="1" outline="0" fieldPosition="0">
        <references count="4">
          <reference field="1" count="1" selected="0">
            <x v="161"/>
          </reference>
          <reference field="7" count="1" selected="0">
            <x v="17"/>
          </reference>
          <reference field="8" count="1" selected="0">
            <x v="60"/>
          </reference>
          <reference field="11" count="1">
            <x v="18"/>
          </reference>
        </references>
      </pivotArea>
    </format>
    <format dxfId="585">
      <pivotArea dataOnly="0" labelOnly="1" outline="0" fieldPosition="0">
        <references count="4">
          <reference field="1" count="1" selected="0">
            <x v="174"/>
          </reference>
          <reference field="7" count="1" selected="0">
            <x v="17"/>
          </reference>
          <reference field="8" count="1" selected="0">
            <x v="69"/>
          </reference>
          <reference field="11" count="1">
            <x v="105"/>
          </reference>
        </references>
      </pivotArea>
    </format>
    <format dxfId="584">
      <pivotArea dataOnly="0" labelOnly="1" outline="0" fieldPosition="0">
        <references count="4">
          <reference field="1" count="1" selected="0">
            <x v="189"/>
          </reference>
          <reference field="7" count="1" selected="0">
            <x v="17"/>
          </reference>
          <reference field="8" count="1" selected="0">
            <x v="8"/>
          </reference>
          <reference field="11" count="1">
            <x v="159"/>
          </reference>
        </references>
      </pivotArea>
    </format>
    <format dxfId="583">
      <pivotArea dataOnly="0" labelOnly="1" outline="0" fieldPosition="0">
        <references count="4">
          <reference field="1" count="1" selected="0">
            <x v="205"/>
          </reference>
          <reference field="7" count="1" selected="0">
            <x v="17"/>
          </reference>
          <reference field="8" count="1" selected="0">
            <x v="143"/>
          </reference>
          <reference field="11" count="1">
            <x v="127"/>
          </reference>
        </references>
      </pivotArea>
    </format>
    <format dxfId="582">
      <pivotArea dataOnly="0" labelOnly="1" outline="0" fieldPosition="0">
        <references count="4">
          <reference field="1" count="1" selected="0">
            <x v="206"/>
          </reference>
          <reference field="7" count="1" selected="0">
            <x v="17"/>
          </reference>
          <reference field="8" count="1" selected="0">
            <x v="62"/>
          </reference>
          <reference field="11" count="1">
            <x v="15"/>
          </reference>
        </references>
      </pivotArea>
    </format>
    <format dxfId="581">
      <pivotArea dataOnly="0" labelOnly="1" outline="0" fieldPosition="0">
        <references count="4">
          <reference field="1" count="1" selected="0">
            <x v="207"/>
          </reference>
          <reference field="7" count="1" selected="0">
            <x v="17"/>
          </reference>
          <reference field="8" count="1" selected="0">
            <x v="144"/>
          </reference>
          <reference field="11" count="1">
            <x v="79"/>
          </reference>
        </references>
      </pivotArea>
    </format>
    <format dxfId="580">
      <pivotArea dataOnly="0" labelOnly="1" outline="0" fieldPosition="0">
        <references count="4">
          <reference field="1" count="1" selected="0">
            <x v="211"/>
          </reference>
          <reference field="7" count="1" selected="0">
            <x v="17"/>
          </reference>
          <reference field="8" count="1" selected="0">
            <x v="7"/>
          </reference>
          <reference field="11" count="1">
            <x v="36"/>
          </reference>
        </references>
      </pivotArea>
    </format>
    <format dxfId="579">
      <pivotArea dataOnly="0" labelOnly="1" outline="0" fieldPosition="0">
        <references count="4">
          <reference field="1" count="1" selected="0">
            <x v="214"/>
          </reference>
          <reference field="7" count="1" selected="0">
            <x v="17"/>
          </reference>
          <reference field="8" count="1" selected="0">
            <x v="9"/>
          </reference>
          <reference field="11" count="1">
            <x v="60"/>
          </reference>
        </references>
      </pivotArea>
    </format>
    <format dxfId="578">
      <pivotArea dataOnly="0" labelOnly="1" outline="0" fieldPosition="0">
        <references count="4">
          <reference field="1" count="1" selected="0">
            <x v="222"/>
          </reference>
          <reference field="7" count="1" selected="0">
            <x v="17"/>
          </reference>
          <reference field="8" count="1" selected="0">
            <x v="25"/>
          </reference>
          <reference field="11" count="1">
            <x v="156"/>
          </reference>
        </references>
      </pivotArea>
    </format>
    <format dxfId="577">
      <pivotArea dataOnly="0" labelOnly="1" outline="0" fieldPosition="0">
        <references count="4">
          <reference field="1" count="1" selected="0">
            <x v="230"/>
          </reference>
          <reference field="7" count="1" selected="0">
            <x v="17"/>
          </reference>
          <reference field="8" count="1" selected="0">
            <x v="84"/>
          </reference>
          <reference field="11" count="1">
            <x v="93"/>
          </reference>
        </references>
      </pivotArea>
    </format>
    <format dxfId="576">
      <pivotArea dataOnly="0" labelOnly="1" outline="0" fieldPosition="0">
        <references count="4">
          <reference field="1" count="1" selected="0">
            <x v="237"/>
          </reference>
          <reference field="7" count="1" selected="0">
            <x v="17"/>
          </reference>
          <reference field="8" count="1" selected="0">
            <x v="110"/>
          </reference>
          <reference field="11" count="1">
            <x v="154"/>
          </reference>
        </references>
      </pivotArea>
    </format>
    <format dxfId="575">
      <pivotArea dataOnly="0" labelOnly="1" outline="0" fieldPosition="0">
        <references count="4">
          <reference field="1" count="1" selected="0">
            <x v="250"/>
          </reference>
          <reference field="7" count="1" selected="0">
            <x v="17"/>
          </reference>
          <reference field="8" count="1" selected="0">
            <x v="18"/>
          </reference>
          <reference field="11" count="1">
            <x v="86"/>
          </reference>
        </references>
      </pivotArea>
    </format>
    <format dxfId="574">
      <pivotArea dataOnly="0" labelOnly="1" outline="0" fieldPosition="0">
        <references count="4">
          <reference field="1" count="1" selected="0">
            <x v="259"/>
          </reference>
          <reference field="7" count="1" selected="0">
            <x v="17"/>
          </reference>
          <reference field="8" count="1" selected="0">
            <x v="20"/>
          </reference>
          <reference field="11" count="1">
            <x v="93"/>
          </reference>
        </references>
      </pivotArea>
    </format>
    <format dxfId="573">
      <pivotArea dataOnly="0" labelOnly="1" outline="0" fieldPosition="0">
        <references count="4">
          <reference field="1" count="1" selected="0">
            <x v="264"/>
          </reference>
          <reference field="7" count="1" selected="0">
            <x v="17"/>
          </reference>
          <reference field="8" count="1" selected="0">
            <x v="71"/>
          </reference>
          <reference field="11" count="1">
            <x v="101"/>
          </reference>
        </references>
      </pivotArea>
    </format>
    <format dxfId="572">
      <pivotArea dataOnly="0" labelOnly="1" outline="0" fieldPosition="0">
        <references count="4">
          <reference field="1" count="1" selected="0">
            <x v="269"/>
          </reference>
          <reference field="7" count="1" selected="0">
            <x v="17"/>
          </reference>
          <reference field="8" count="1" selected="0">
            <x v="30"/>
          </reference>
          <reference field="11" count="1">
            <x v="123"/>
          </reference>
        </references>
      </pivotArea>
    </format>
    <format dxfId="571">
      <pivotArea dataOnly="0" labelOnly="1" outline="0" fieldPosition="0">
        <references count="4">
          <reference field="1" count="1" selected="0">
            <x v="270"/>
          </reference>
          <reference field="7" count="1" selected="0">
            <x v="17"/>
          </reference>
          <reference field="8" count="1" selected="0">
            <x v="95"/>
          </reference>
          <reference field="11" count="1">
            <x v="82"/>
          </reference>
        </references>
      </pivotArea>
    </format>
    <format dxfId="570">
      <pivotArea dataOnly="0" labelOnly="1" outline="0" fieldPosition="0">
        <references count="4">
          <reference field="1" count="1" selected="0">
            <x v="271"/>
          </reference>
          <reference field="7" count="1" selected="0">
            <x v="17"/>
          </reference>
          <reference field="8" count="1" selected="0">
            <x v="29"/>
          </reference>
          <reference field="11" count="1">
            <x v="132"/>
          </reference>
        </references>
      </pivotArea>
    </format>
    <format dxfId="569">
      <pivotArea dataOnly="0" labelOnly="1" outline="0" fieldPosition="0">
        <references count="4">
          <reference field="1" count="1" selected="0">
            <x v="76"/>
          </reference>
          <reference field="7" count="1" selected="0">
            <x v="18"/>
          </reference>
          <reference field="8" count="1" selected="0">
            <x v="130"/>
          </reference>
          <reference field="11" count="1">
            <x v="52"/>
          </reference>
        </references>
      </pivotArea>
    </format>
    <format dxfId="568">
      <pivotArea dataOnly="0" labelOnly="1" outline="0" fieldPosition="0">
        <references count="4">
          <reference field="1" count="1" selected="0">
            <x v="77"/>
          </reference>
          <reference field="7" count="1" selected="0">
            <x v="18"/>
          </reference>
          <reference field="8" count="1" selected="0">
            <x v="131"/>
          </reference>
          <reference field="11" count="1">
            <x v="62"/>
          </reference>
        </references>
      </pivotArea>
    </format>
    <format dxfId="567">
      <pivotArea dataOnly="0" labelOnly="1" outline="0" fieldPosition="0">
        <references count="4">
          <reference field="1" count="1" selected="0">
            <x v="85"/>
          </reference>
          <reference field="7" count="1" selected="0">
            <x v="18"/>
          </reference>
          <reference field="8" count="1" selected="0">
            <x v="133"/>
          </reference>
          <reference field="11" count="1">
            <x v="91"/>
          </reference>
        </references>
      </pivotArea>
    </format>
    <format dxfId="566">
      <pivotArea dataOnly="0" labelOnly="1" outline="0" fieldPosition="0">
        <references count="4">
          <reference field="1" count="1" selected="0">
            <x v="90"/>
          </reference>
          <reference field="7" count="1" selected="0">
            <x v="19"/>
          </reference>
          <reference field="8" count="1" selected="0">
            <x v="14"/>
          </reference>
          <reference field="11" count="1">
            <x v="0"/>
          </reference>
        </references>
      </pivotArea>
    </format>
    <format dxfId="565">
      <pivotArea dataOnly="0" labelOnly="1" outline="0" fieldPosition="0">
        <references count="4">
          <reference field="1" count="1" selected="0">
            <x v="41"/>
          </reference>
          <reference field="7" count="1" selected="0">
            <x v="20"/>
          </reference>
          <reference field="8" count="1" selected="0">
            <x v="137"/>
          </reference>
          <reference field="11" count="1">
            <x v="89"/>
          </reference>
        </references>
      </pivotArea>
    </format>
    <format dxfId="564">
      <pivotArea dataOnly="0" labelOnly="1" outline="0" fieldPosition="0">
        <references count="4">
          <reference field="1" count="1" selected="0">
            <x v="50"/>
          </reference>
          <reference field="7" count="1" selected="0">
            <x v="20"/>
          </reference>
          <reference field="8" count="1" selected="0">
            <x v="135"/>
          </reference>
          <reference field="11" count="1">
            <x v="106"/>
          </reference>
        </references>
      </pivotArea>
    </format>
    <format dxfId="563">
      <pivotArea dataOnly="0" labelOnly="1" outline="0" fieldPosition="0">
        <references count="4">
          <reference field="1" count="1" selected="0">
            <x v="194"/>
          </reference>
          <reference field="7" count="1" selected="0">
            <x v="20"/>
          </reference>
          <reference field="8" count="1" selected="0">
            <x v="158"/>
          </reference>
          <reference field="11" count="1">
            <x v="162"/>
          </reference>
        </references>
      </pivotArea>
    </format>
    <format dxfId="562">
      <pivotArea dataOnly="0" labelOnly="1" outline="0" fieldPosition="0">
        <references count="4">
          <reference field="1" count="1" selected="0">
            <x v="241"/>
          </reference>
          <reference field="7" count="1" selected="0">
            <x v="20"/>
          </reference>
          <reference field="8" count="1" selected="0">
            <x v="158"/>
          </reference>
          <reference field="11" count="1">
            <x v="163"/>
          </reference>
        </references>
      </pivotArea>
    </format>
    <format dxfId="561">
      <pivotArea dataOnly="0" labelOnly="1" outline="0" fieldPosition="0">
        <references count="4">
          <reference field="1" count="1" selected="0">
            <x v="272"/>
          </reference>
          <reference field="7" count="1" selected="0">
            <x v="20"/>
          </reference>
          <reference field="8" count="1" selected="0">
            <x v="55"/>
          </reference>
          <reference field="11" count="1">
            <x v="46"/>
          </reference>
        </references>
      </pivotArea>
    </format>
    <format dxfId="560">
      <pivotArea dataOnly="0" labelOnly="1" outline="0" fieldPosition="0">
        <references count="4">
          <reference field="1" count="1" selected="0">
            <x v="273"/>
          </reference>
          <reference field="7" count="1" selected="0">
            <x v="20"/>
          </reference>
          <reference field="8" count="1" selected="0">
            <x v="158"/>
          </reference>
          <reference field="11" count="1">
            <x v="42"/>
          </reference>
        </references>
      </pivotArea>
    </format>
    <format dxfId="559">
      <pivotArea dataOnly="0" labelOnly="1" outline="0" fieldPosition="0">
        <references count="4">
          <reference field="1" count="1" selected="0">
            <x v="125"/>
          </reference>
          <reference field="7" count="1" selected="0">
            <x v="21"/>
          </reference>
          <reference field="8" count="1" selected="0">
            <x v="158"/>
          </reference>
          <reference field="11" count="1">
            <x v="0"/>
          </reference>
        </references>
      </pivotArea>
    </format>
    <format dxfId="558">
      <pivotArea dataOnly="0" labelOnly="1" outline="0" fieldPosition="0">
        <references count="4">
          <reference field="1" count="1" selected="0">
            <x v="160"/>
          </reference>
          <reference field="7" count="1" selected="0">
            <x v="21"/>
          </reference>
          <reference field="8" count="1" selected="0">
            <x v="4"/>
          </reference>
          <reference field="11" count="1">
            <x v="29"/>
          </reference>
        </references>
      </pivotArea>
    </format>
    <format dxfId="557">
      <pivotArea dataOnly="0" labelOnly="1" outline="0" fieldPosition="0">
        <references count="4">
          <reference field="1" count="1" selected="0">
            <x v="163"/>
          </reference>
          <reference field="7" count="1" selected="0">
            <x v="21"/>
          </reference>
          <reference field="8" count="1" selected="0">
            <x v="66"/>
          </reference>
          <reference field="11" count="1">
            <x v="67"/>
          </reference>
        </references>
      </pivotArea>
    </format>
    <format dxfId="556">
      <pivotArea dataOnly="0" labelOnly="1" outline="0" fieldPosition="0">
        <references count="4">
          <reference field="1" count="1" selected="0">
            <x v="228"/>
          </reference>
          <reference field="7" count="1" selected="0">
            <x v="21"/>
          </reference>
          <reference field="8" count="1" selected="0">
            <x v="5"/>
          </reference>
          <reference field="11" count="1">
            <x v="0"/>
          </reference>
        </references>
      </pivotArea>
    </format>
    <format dxfId="555">
      <pivotArea dataOnly="0" labelOnly="1" outline="0" fieldPosition="0">
        <references count="4">
          <reference field="1" count="1" selected="0">
            <x v="229"/>
          </reference>
          <reference field="7" count="1" selected="0">
            <x v="21"/>
          </reference>
          <reference field="8" count="1" selected="0">
            <x v="5"/>
          </reference>
          <reference field="11" count="1">
            <x v="4"/>
          </reference>
        </references>
      </pivotArea>
    </format>
    <format dxfId="554">
      <pivotArea dataOnly="0" labelOnly="1" outline="0" fieldPosition="0">
        <references count="5">
          <reference field="1" count="1" selected="0">
            <x v="121"/>
          </reference>
          <reference field="7" count="1" selected="0">
            <x v="0"/>
          </reference>
          <reference field="8" count="1" selected="0">
            <x v="158"/>
          </reference>
          <reference field="11" count="1" selected="0">
            <x v="136"/>
          </reference>
          <reference field="12" count="1">
            <x v="1"/>
          </reference>
        </references>
      </pivotArea>
    </format>
    <format dxfId="553">
      <pivotArea dataOnly="0" labelOnly="1" outline="0" fieldPosition="0">
        <references count="5">
          <reference field="1" count="1" selected="0">
            <x v="0"/>
          </reference>
          <reference field="7" count="1" selected="0">
            <x v="2"/>
          </reference>
          <reference field="8" count="1" selected="0">
            <x v="147"/>
          </reference>
          <reference field="11" count="1" selected="0">
            <x v="13"/>
          </reference>
          <reference field="12" count="1">
            <x v="0"/>
          </reference>
        </references>
      </pivotArea>
    </format>
    <format dxfId="552">
      <pivotArea dataOnly="0" labelOnly="1" outline="0" fieldPosition="0">
        <references count="5">
          <reference field="1" count="1" selected="0">
            <x v="53"/>
          </reference>
          <reference field="7" count="1" selected="0">
            <x v="4"/>
          </reference>
          <reference field="8" count="1" selected="0">
            <x v="42"/>
          </reference>
          <reference field="11" count="1" selected="0">
            <x v="97"/>
          </reference>
          <reference field="12" count="1">
            <x v="1"/>
          </reference>
        </references>
      </pivotArea>
    </format>
    <format dxfId="551">
      <pivotArea dataOnly="0" labelOnly="1" outline="0" fieldPosition="0">
        <references count="5">
          <reference field="1" count="1" selected="0">
            <x v="274"/>
          </reference>
          <reference field="7" count="1" selected="0">
            <x v="4"/>
          </reference>
          <reference field="8" count="1" selected="0">
            <x v="87"/>
          </reference>
          <reference field="11" count="1" selected="0">
            <x v="152"/>
          </reference>
          <reference field="12" count="1">
            <x v="0"/>
          </reference>
        </references>
      </pivotArea>
    </format>
    <format dxfId="550">
      <pivotArea dataOnly="0" labelOnly="1" outline="0" fieldPosition="0">
        <references count="5">
          <reference field="1" count="1" selected="0">
            <x v="275"/>
          </reference>
          <reference field="7" count="1" selected="0">
            <x v="4"/>
          </reference>
          <reference field="8" count="1" selected="0">
            <x v="96"/>
          </reference>
          <reference field="11" count="1" selected="0">
            <x v="133"/>
          </reference>
          <reference field="12" count="1">
            <x v="1"/>
          </reference>
        </references>
      </pivotArea>
    </format>
    <format dxfId="549">
      <pivotArea dataOnly="0" labelOnly="1" outline="0" fieldPosition="0">
        <references count="5">
          <reference field="1" count="1" selected="0">
            <x v="87"/>
          </reference>
          <reference field="7" count="1" selected="0">
            <x v="5"/>
          </reference>
          <reference field="8" count="1" selected="0">
            <x v="80"/>
          </reference>
          <reference field="11" count="1" selected="0">
            <x v="66"/>
          </reference>
          <reference field="12" count="1">
            <x v="0"/>
          </reference>
        </references>
      </pivotArea>
    </format>
    <format dxfId="548">
      <pivotArea dataOnly="0" labelOnly="1" outline="0" fieldPosition="0">
        <references count="5">
          <reference field="1" count="1" selected="0">
            <x v="103"/>
          </reference>
          <reference field="7" count="1" selected="0">
            <x v="5"/>
          </reference>
          <reference field="8" count="1" selected="0">
            <x v="11"/>
          </reference>
          <reference field="11" count="1" selected="0">
            <x v="69"/>
          </reference>
          <reference field="12" count="1">
            <x v="1"/>
          </reference>
        </references>
      </pivotArea>
    </format>
    <format dxfId="547">
      <pivotArea dataOnly="0" labelOnly="1" outline="0" fieldPosition="0">
        <references count="5">
          <reference field="1" count="1" selected="0">
            <x v="129"/>
          </reference>
          <reference field="7" count="1" selected="0">
            <x v="5"/>
          </reference>
          <reference field="8" count="1" selected="0">
            <x v="59"/>
          </reference>
          <reference field="11" count="1" selected="0">
            <x v="23"/>
          </reference>
          <reference field="12" count="1">
            <x v="0"/>
          </reference>
        </references>
      </pivotArea>
    </format>
    <format dxfId="546">
      <pivotArea dataOnly="0" labelOnly="1" outline="0" fieldPosition="0">
        <references count="5">
          <reference field="1" count="1" selected="0">
            <x v="131"/>
          </reference>
          <reference field="7" count="1" selected="0">
            <x v="5"/>
          </reference>
          <reference field="8" count="1" selected="0">
            <x v="148"/>
          </reference>
          <reference field="11" count="1" selected="0">
            <x v="2"/>
          </reference>
          <reference field="12" count="1">
            <x v="1"/>
          </reference>
        </references>
      </pivotArea>
    </format>
    <format dxfId="545">
      <pivotArea dataOnly="0" labelOnly="1" outline="0" fieldPosition="0">
        <references count="5">
          <reference field="1" count="1" selected="0">
            <x v="159"/>
          </reference>
          <reference field="7" count="1" selected="0">
            <x v="5"/>
          </reference>
          <reference field="8" count="1" selected="0">
            <x v="158"/>
          </reference>
          <reference field="11" count="1" selected="0">
            <x v="4"/>
          </reference>
          <reference field="12" count="1">
            <x v="0"/>
          </reference>
        </references>
      </pivotArea>
    </format>
    <format dxfId="544">
      <pivotArea dataOnly="0" labelOnly="1" outline="0" fieldPosition="0">
        <references count="5">
          <reference field="1" count="1" selected="0">
            <x v="175"/>
          </reference>
          <reference field="7" count="1" selected="0">
            <x v="5"/>
          </reference>
          <reference field="8" count="1" selected="0">
            <x v="61"/>
          </reference>
          <reference field="11" count="1" selected="0">
            <x v="155"/>
          </reference>
          <reference field="12" count="1">
            <x v="1"/>
          </reference>
        </references>
      </pivotArea>
    </format>
    <format dxfId="543">
      <pivotArea dataOnly="0" labelOnly="1" outline="0" fieldPosition="0">
        <references count="5">
          <reference field="1" count="1" selected="0">
            <x v="186"/>
          </reference>
          <reference field="7" count="1" selected="0">
            <x v="5"/>
          </reference>
          <reference field="8" count="1" selected="0">
            <x v="22"/>
          </reference>
          <reference field="11" count="1" selected="0">
            <x v="31"/>
          </reference>
          <reference field="12" count="1">
            <x v="0"/>
          </reference>
        </references>
      </pivotArea>
    </format>
    <format dxfId="542">
      <pivotArea dataOnly="0" labelOnly="1" outline="0" fieldPosition="0">
        <references count="5">
          <reference field="1" count="1" selected="0">
            <x v="191"/>
          </reference>
          <reference field="7" count="1" selected="0">
            <x v="5"/>
          </reference>
          <reference field="8" count="1" selected="0">
            <x v="6"/>
          </reference>
          <reference field="11" count="1" selected="0">
            <x v="133"/>
          </reference>
          <reference field="12" count="1">
            <x v="1"/>
          </reference>
        </references>
      </pivotArea>
    </format>
    <format dxfId="541">
      <pivotArea dataOnly="0" labelOnly="1" outline="0" fieldPosition="0">
        <references count="5">
          <reference field="1" count="1" selected="0">
            <x v="216"/>
          </reference>
          <reference field="7" count="1" selected="0">
            <x v="5"/>
          </reference>
          <reference field="8" count="1" selected="0">
            <x v="70"/>
          </reference>
          <reference field="11" count="1" selected="0">
            <x v="67"/>
          </reference>
          <reference field="12" count="1">
            <x v="0"/>
          </reference>
        </references>
      </pivotArea>
    </format>
    <format dxfId="540">
      <pivotArea dataOnly="0" labelOnly="1" outline="0" fieldPosition="0">
        <references count="5">
          <reference field="1" count="1" selected="0">
            <x v="217"/>
          </reference>
          <reference field="7" count="1" selected="0">
            <x v="5"/>
          </reference>
          <reference field="8" count="1" selected="0">
            <x v="48"/>
          </reference>
          <reference field="11" count="1" selected="0">
            <x v="81"/>
          </reference>
          <reference field="12" count="1">
            <x v="1"/>
          </reference>
        </references>
      </pivotArea>
    </format>
    <format dxfId="539">
      <pivotArea dataOnly="0" labelOnly="1" outline="0" fieldPosition="0">
        <references count="5">
          <reference field="1" count="1" selected="0">
            <x v="219"/>
          </reference>
          <reference field="7" count="1" selected="0">
            <x v="5"/>
          </reference>
          <reference field="8" count="1" selected="0">
            <x v="146"/>
          </reference>
          <reference field="11" count="1" selected="0">
            <x v="67"/>
          </reference>
          <reference field="12" count="1">
            <x v="0"/>
          </reference>
        </references>
      </pivotArea>
    </format>
    <format dxfId="538">
      <pivotArea dataOnly="0" labelOnly="1" outline="0" fieldPosition="0">
        <references count="5">
          <reference field="1" count="1" selected="0">
            <x v="224"/>
          </reference>
          <reference field="7" count="1" selected="0">
            <x v="5"/>
          </reference>
          <reference field="8" count="1" selected="0">
            <x v="34"/>
          </reference>
          <reference field="11" count="1" selected="0">
            <x v="3"/>
          </reference>
          <reference field="12" count="1">
            <x v="1"/>
          </reference>
        </references>
      </pivotArea>
    </format>
    <format dxfId="537">
      <pivotArea dataOnly="0" labelOnly="1" outline="0" fieldPosition="0">
        <references count="5">
          <reference field="1" count="1" selected="0">
            <x v="227"/>
          </reference>
          <reference field="7" count="1" selected="0">
            <x v="5"/>
          </reference>
          <reference field="8" count="1" selected="0">
            <x v="158"/>
          </reference>
          <reference field="11" count="1" selected="0">
            <x v="4"/>
          </reference>
          <reference field="12" count="1">
            <x v="0"/>
          </reference>
        </references>
      </pivotArea>
    </format>
    <format dxfId="536">
      <pivotArea dataOnly="0" labelOnly="1" outline="0" fieldPosition="0">
        <references count="5">
          <reference field="1" count="1" selected="0">
            <x v="232"/>
          </reference>
          <reference field="7" count="1" selected="0">
            <x v="5"/>
          </reference>
          <reference field="8" count="1" selected="0">
            <x v="72"/>
          </reference>
          <reference field="11" count="1" selected="0">
            <x v="38"/>
          </reference>
          <reference field="12" count="1">
            <x v="1"/>
          </reference>
        </references>
      </pivotArea>
    </format>
    <format dxfId="535">
      <pivotArea dataOnly="0" labelOnly="1" outline="0" fieldPosition="0">
        <references count="5">
          <reference field="1" count="1" selected="0">
            <x v="235"/>
          </reference>
          <reference field="7" count="1" selected="0">
            <x v="5"/>
          </reference>
          <reference field="8" count="1" selected="0">
            <x v="85"/>
          </reference>
          <reference field="11" count="1" selected="0">
            <x v="53"/>
          </reference>
          <reference field="12" count="1">
            <x v="0"/>
          </reference>
        </references>
      </pivotArea>
    </format>
    <format dxfId="534">
      <pivotArea dataOnly="0" labelOnly="1" outline="0" fieldPosition="0">
        <references count="5">
          <reference field="1" count="1" selected="0">
            <x v="236"/>
          </reference>
          <reference field="7" count="1" selected="0">
            <x v="5"/>
          </reference>
          <reference field="8" count="1" selected="0">
            <x v="142"/>
          </reference>
          <reference field="11" count="1" selected="0">
            <x v="37"/>
          </reference>
          <reference field="12" count="1">
            <x v="1"/>
          </reference>
        </references>
      </pivotArea>
    </format>
    <format dxfId="533">
      <pivotArea dataOnly="0" labelOnly="1" outline="0" fieldPosition="0">
        <references count="5">
          <reference field="1" count="1" selected="0">
            <x v="256"/>
          </reference>
          <reference field="7" count="1" selected="0">
            <x v="5"/>
          </reference>
          <reference field="8" count="1" selected="0">
            <x v="106"/>
          </reference>
          <reference field="11" count="1" selected="0">
            <x v="111"/>
          </reference>
          <reference field="12" count="1">
            <x v="0"/>
          </reference>
        </references>
      </pivotArea>
    </format>
    <format dxfId="532">
      <pivotArea dataOnly="0" labelOnly="1" outline="0" fieldPosition="0">
        <references count="5">
          <reference field="1" count="1" selected="0">
            <x v="263"/>
          </reference>
          <reference field="7" count="1" selected="0">
            <x v="5"/>
          </reference>
          <reference field="8" count="1" selected="0">
            <x v="158"/>
          </reference>
          <reference field="11" count="1" selected="0">
            <x v="153"/>
          </reference>
          <reference field="12" count="1">
            <x v="1"/>
          </reference>
        </references>
      </pivotArea>
    </format>
    <format dxfId="531">
      <pivotArea dataOnly="0" labelOnly="1" outline="0" fieldPosition="0">
        <references count="5">
          <reference field="1" count="1" selected="0">
            <x v="31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25"/>
          </reference>
          <reference field="12" count="1">
            <x v="0"/>
          </reference>
        </references>
      </pivotArea>
    </format>
    <format dxfId="530">
      <pivotArea dataOnly="0" labelOnly="1" outline="0" fieldPosition="0">
        <references count="5">
          <reference field="1" count="1" selected="0">
            <x v="49"/>
          </reference>
          <reference field="7" count="1" selected="0">
            <x v="6"/>
          </reference>
          <reference field="8" count="1" selected="0">
            <x v="91"/>
          </reference>
          <reference field="11" count="1" selected="0">
            <x v="74"/>
          </reference>
          <reference field="12" count="1">
            <x v="1"/>
          </reference>
        </references>
      </pivotArea>
    </format>
    <format dxfId="529">
      <pivotArea dataOnly="0" labelOnly="1" outline="0" fieldPosition="0">
        <references count="5">
          <reference field="1" count="1" selected="0">
            <x v="83"/>
          </reference>
          <reference field="7" count="1" selected="0">
            <x v="6"/>
          </reference>
          <reference field="8" count="1" selected="0">
            <x v="3"/>
          </reference>
          <reference field="11" count="1" selected="0">
            <x v="23"/>
          </reference>
          <reference field="12" count="1">
            <x v="0"/>
          </reference>
        </references>
      </pivotArea>
    </format>
    <format dxfId="528">
      <pivotArea dataOnly="0" labelOnly="1" outline="0" fieldPosition="0">
        <references count="5">
          <reference field="1" count="1" selected="0">
            <x v="101"/>
          </reference>
          <reference field="7" count="1" selected="0">
            <x v="6"/>
          </reference>
          <reference field="8" count="1" selected="0">
            <x v="54"/>
          </reference>
          <reference field="11" count="1" selected="0">
            <x v="115"/>
          </reference>
          <reference field="12" count="1">
            <x v="1"/>
          </reference>
        </references>
      </pivotArea>
    </format>
    <format dxfId="527">
      <pivotArea dataOnly="0" labelOnly="1" outline="0" fieldPosition="0">
        <references count="5">
          <reference field="1" count="1" selected="0">
            <x v="120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68"/>
          </reference>
          <reference field="12" count="1">
            <x v="0"/>
          </reference>
        </references>
      </pivotArea>
    </format>
    <format dxfId="526">
      <pivotArea dataOnly="0" labelOnly="1" outline="0" fieldPosition="0">
        <references count="5">
          <reference field="1" count="1" selected="0">
            <x v="215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54"/>
          </reference>
          <reference field="12" count="1">
            <x v="1"/>
          </reference>
        </references>
      </pivotArea>
    </format>
    <format dxfId="525">
      <pivotArea dataOnly="0" labelOnly="1" outline="0" fieldPosition="0">
        <references count="5">
          <reference field="1" count="1" selected="0">
            <x v="221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85"/>
          </reference>
          <reference field="12" count="1">
            <x v="0"/>
          </reference>
        </references>
      </pivotArea>
    </format>
    <format dxfId="524">
      <pivotArea dataOnly="0" labelOnly="1" outline="0" fieldPosition="0">
        <references count="5">
          <reference field="1" count="1" selected="0">
            <x v="258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57"/>
          </reference>
          <reference field="12" count="1">
            <x v="1"/>
          </reference>
        </references>
      </pivotArea>
    </format>
    <format dxfId="523">
      <pivotArea dataOnly="0" labelOnly="1" outline="0" fieldPosition="0">
        <references count="5">
          <reference field="1" count="1" selected="0">
            <x v="149"/>
          </reference>
          <reference field="7" count="1" selected="0">
            <x v="7"/>
          </reference>
          <reference field="8" count="1" selected="0">
            <x v="158"/>
          </reference>
          <reference field="11" count="1" selected="0">
            <x v="122"/>
          </reference>
          <reference field="12" count="1">
            <x v="0"/>
          </reference>
        </references>
      </pivotArea>
    </format>
    <format dxfId="522">
      <pivotArea dataOnly="0" labelOnly="1" outline="0" fieldPosition="0">
        <references count="5">
          <reference field="1" count="1" selected="0">
            <x v="164"/>
          </reference>
          <reference field="7" count="1" selected="0">
            <x v="7"/>
          </reference>
          <reference field="8" count="1" selected="0">
            <x v="47"/>
          </reference>
          <reference field="11" count="1" selected="0">
            <x v="28"/>
          </reference>
          <reference field="12" count="1">
            <x v="1"/>
          </reference>
        </references>
      </pivotArea>
    </format>
    <format dxfId="521">
      <pivotArea dataOnly="0" labelOnly="1" outline="0" fieldPosition="0">
        <references count="5">
          <reference field="1" count="1" selected="0">
            <x v="54"/>
          </reference>
          <reference field="7" count="1" selected="0">
            <x v="9"/>
          </reference>
          <reference field="8" count="1" selected="0">
            <x v="158"/>
          </reference>
          <reference field="11" count="1" selected="0">
            <x v="0"/>
          </reference>
          <reference field="12" count="1">
            <x v="0"/>
          </reference>
        </references>
      </pivotArea>
    </format>
    <format dxfId="520">
      <pivotArea dataOnly="0" labelOnly="1" outline="0" fieldPosition="0">
        <references count="5">
          <reference field="1" count="1" selected="0">
            <x v="226"/>
          </reference>
          <reference field="7" count="1" selected="0">
            <x v="9"/>
          </reference>
          <reference field="8" count="1" selected="0">
            <x v="158"/>
          </reference>
          <reference field="11" count="1" selected="0">
            <x v="161"/>
          </reference>
          <reference field="12" count="1">
            <x v="1"/>
          </reference>
        </references>
      </pivotArea>
    </format>
    <format dxfId="519">
      <pivotArea dataOnly="0" labelOnly="1" outline="0" fieldPosition="0">
        <references count="5">
          <reference field="1" count="1" selected="0">
            <x v="234"/>
          </reference>
          <reference field="7" count="1" selected="0">
            <x v="9"/>
          </reference>
          <reference field="8" count="1" selected="0">
            <x v="16"/>
          </reference>
          <reference field="11" count="1" selected="0">
            <x v="0"/>
          </reference>
          <reference field="12" count="1">
            <x v="0"/>
          </reference>
        </references>
      </pivotArea>
    </format>
    <format dxfId="518">
      <pivotArea dataOnly="0" labelOnly="1" outline="0" fieldPosition="0">
        <references count="5">
          <reference field="1" count="1" selected="0">
            <x v="45"/>
          </reference>
          <reference field="7" count="1" selected="0">
            <x v="10"/>
          </reference>
          <reference field="8" count="1" selected="0">
            <x v="118"/>
          </reference>
          <reference field="11" count="1" selected="0">
            <x v="78"/>
          </reference>
          <reference field="12" count="1">
            <x v="1"/>
          </reference>
        </references>
      </pivotArea>
    </format>
    <format dxfId="517">
      <pivotArea dataOnly="0" labelOnly="1" outline="0" fieldPosition="0">
        <references count="5">
          <reference field="1" count="1" selected="0">
            <x v="265"/>
          </reference>
          <reference field="7" count="1" selected="0">
            <x v="15"/>
          </reference>
          <reference field="8" count="1" selected="0">
            <x v="104"/>
          </reference>
          <reference field="11" count="1" selected="0">
            <x v="76"/>
          </reference>
          <reference field="12" count="1">
            <x v="0"/>
          </reference>
        </references>
      </pivotArea>
    </format>
    <format dxfId="516">
      <pivotArea dataOnly="0" labelOnly="1" outline="0" fieldPosition="0">
        <references count="5">
          <reference field="1" count="1" selected="0">
            <x v="47"/>
          </reference>
          <reference field="7" count="1" selected="0">
            <x v="17"/>
          </reference>
          <reference field="8" count="1" selected="0">
            <x v="32"/>
          </reference>
          <reference field="11" count="1" selected="0">
            <x v="142"/>
          </reference>
          <reference field="12" count="1">
            <x v="1"/>
          </reference>
        </references>
      </pivotArea>
    </format>
    <format dxfId="515">
      <pivotArea dataOnly="0" labelOnly="1" outline="0" fieldPosition="0">
        <references count="5">
          <reference field="1" count="1" selected="0">
            <x v="94"/>
          </reference>
          <reference field="7" count="1" selected="0">
            <x v="17"/>
          </reference>
          <reference field="8" count="1" selected="0">
            <x v="92"/>
          </reference>
          <reference field="11" count="1" selected="0">
            <x v="113"/>
          </reference>
          <reference field="12" count="1">
            <x v="0"/>
          </reference>
        </references>
      </pivotArea>
    </format>
    <format dxfId="514">
      <pivotArea dataOnly="0" labelOnly="1" outline="0" fieldPosition="0">
        <references count="5">
          <reference field="1" count="1" selected="0">
            <x v="99"/>
          </reference>
          <reference field="7" count="1" selected="0">
            <x v="17"/>
          </reference>
          <reference field="8" count="1" selected="0">
            <x v="26"/>
          </reference>
          <reference field="11" count="1" selected="0">
            <x v="151"/>
          </reference>
          <reference field="12" count="1">
            <x v="1"/>
          </reference>
        </references>
      </pivotArea>
    </format>
    <format dxfId="513">
      <pivotArea dataOnly="0" labelOnly="1" outline="0" fieldPosition="0">
        <references count="5">
          <reference field="1" count="1" selected="0">
            <x v="125"/>
          </reference>
          <reference field="7" count="1" selected="0">
            <x v="21"/>
          </reference>
          <reference field="8" count="1" selected="0">
            <x v="158"/>
          </reference>
          <reference field="11" count="1" selected="0">
            <x v="0"/>
          </reference>
          <reference field="12" count="1">
            <x v="0"/>
          </reference>
        </references>
      </pivotArea>
    </format>
    <format dxfId="512">
      <pivotArea dataOnly="0" labelOnly="1" outline="0" fieldPosition="0">
        <references count="6">
          <reference field="1" count="1" selected="0">
            <x v="121"/>
          </reference>
          <reference field="7" count="1" selected="0">
            <x v="0"/>
          </reference>
          <reference field="8" count="1" selected="0">
            <x v="158"/>
          </reference>
          <reference field="11" count="1" selected="0">
            <x v="136"/>
          </reference>
          <reference field="12" count="1" selected="0">
            <x v="1"/>
          </reference>
          <reference field="14" count="1">
            <x v="2"/>
          </reference>
        </references>
      </pivotArea>
    </format>
    <format dxfId="511">
      <pivotArea dataOnly="0" labelOnly="1" outline="0" fieldPosition="0">
        <references count="6">
          <reference field="1" count="1" selected="0">
            <x v="251"/>
          </reference>
          <reference field="7" count="1" selected="0">
            <x v="1"/>
          </reference>
          <reference field="8" count="1" selected="0">
            <x v="158"/>
          </reference>
          <reference field="11" count="1" selected="0">
            <x v="31"/>
          </reference>
          <reference field="12" count="1" selected="0">
            <x v="1"/>
          </reference>
          <reference field="14" count="1">
            <x v="0"/>
          </reference>
        </references>
      </pivotArea>
    </format>
    <format dxfId="510">
      <pivotArea dataOnly="0" labelOnly="1" outline="0" fieldPosition="0">
        <references count="6">
          <reference field="1" count="1" selected="0">
            <x v="0"/>
          </reference>
          <reference field="7" count="1" selected="0">
            <x v="2"/>
          </reference>
          <reference field="8" count="1" selected="0">
            <x v="147"/>
          </reference>
          <reference field="11" count="1" selected="0">
            <x v="13"/>
          </reference>
          <reference field="12" count="1" selected="0">
            <x v="0"/>
          </reference>
          <reference field="14" count="1">
            <x v="2"/>
          </reference>
        </references>
      </pivotArea>
    </format>
    <format dxfId="509">
      <pivotArea dataOnly="0" labelOnly="1" outline="0" fieldPosition="0">
        <references count="6">
          <reference field="1" count="1" selected="0">
            <x v="197"/>
          </reference>
          <reference field="7" count="1" selected="0">
            <x v="4"/>
          </reference>
          <reference field="8" count="1" selected="0">
            <x v="40"/>
          </reference>
          <reference field="11" count="1" selected="0">
            <x v="114"/>
          </reference>
          <reference field="12" count="1" selected="0">
            <x v="1"/>
          </reference>
          <reference field="14" count="1">
            <x v="0"/>
          </reference>
        </references>
      </pivotArea>
    </format>
    <format dxfId="508">
      <pivotArea dataOnly="0" labelOnly="1" outline="0" fieldPosition="0">
        <references count="6">
          <reference field="1" count="1" selected="0">
            <x v="199"/>
          </reference>
          <reference field="7" count="1" selected="0">
            <x v="4"/>
          </reference>
          <reference field="8" count="1" selected="0">
            <x v="158"/>
          </reference>
          <reference field="11" count="1" selected="0">
            <x v="120"/>
          </reference>
          <reference field="12" count="1" selected="0">
            <x v="1"/>
          </reference>
          <reference field="14" count="1">
            <x v="2"/>
          </reference>
        </references>
      </pivotArea>
    </format>
    <format dxfId="507">
      <pivotArea dataOnly="0" labelOnly="1" outline="0" fieldPosition="0">
        <references count="6">
          <reference field="1" count="1" selected="0">
            <x v="159"/>
          </reference>
          <reference field="7" count="1" selected="0">
            <x v="5"/>
          </reference>
          <reference field="8" count="1" selected="0">
            <x v="158"/>
          </reference>
          <reference field="11" count="1" selected="0">
            <x v="4"/>
          </reference>
          <reference field="12" count="1" selected="0">
            <x v="0"/>
          </reference>
          <reference field="14" count="1">
            <x v="0"/>
          </reference>
        </references>
      </pivotArea>
    </format>
    <format dxfId="506">
      <pivotArea dataOnly="0" labelOnly="1" outline="0" fieldPosition="0">
        <references count="6">
          <reference field="1" count="1" selected="0">
            <x v="162"/>
          </reference>
          <reference field="7" count="1" selected="0">
            <x v="5"/>
          </reference>
          <reference field="8" count="1" selected="0">
            <x v="53"/>
          </reference>
          <reference field="11" count="1" selected="0">
            <x v="49"/>
          </reference>
          <reference field="12" count="1" selected="0">
            <x v="0"/>
          </reference>
          <reference field="14" count="1">
            <x v="2"/>
          </reference>
        </references>
      </pivotArea>
    </format>
    <format dxfId="505">
      <pivotArea dataOnly="0" labelOnly="1" outline="0" fieldPosition="0">
        <references count="6">
          <reference field="1" count="1" selected="0">
            <x v="175"/>
          </reference>
          <reference field="7" count="1" selected="0">
            <x v="5"/>
          </reference>
          <reference field="8" count="1" selected="0">
            <x v="61"/>
          </reference>
          <reference field="11" count="1" selected="0">
            <x v="155"/>
          </reference>
          <reference field="12" count="1" selected="0">
            <x v="1"/>
          </reference>
          <reference field="14" count="1">
            <x v="0"/>
          </reference>
        </references>
      </pivotArea>
    </format>
    <format dxfId="504">
      <pivotArea dataOnly="0" labelOnly="1" outline="0" fieldPosition="0">
        <references count="6">
          <reference field="1" count="1" selected="0">
            <x v="179"/>
          </reference>
          <reference field="7" count="1" selected="0">
            <x v="5"/>
          </reference>
          <reference field="8" count="1" selected="0">
            <x v="152"/>
          </reference>
          <reference field="11" count="1" selected="0">
            <x v="0"/>
          </reference>
          <reference field="12" count="1" selected="0">
            <x v="1"/>
          </reference>
          <reference field="14" count="1">
            <x v="2"/>
          </reference>
        </references>
      </pivotArea>
    </format>
    <format dxfId="503">
      <pivotArea dataOnly="0" labelOnly="1" outline="0" fieldPosition="0">
        <references count="6">
          <reference field="1" count="1" selected="0">
            <x v="190"/>
          </reference>
          <reference field="7" count="1" selected="0">
            <x v="5"/>
          </reference>
          <reference field="8" count="1" selected="0">
            <x v="141"/>
          </reference>
          <reference field="11" count="1" selected="0">
            <x v="68"/>
          </reference>
          <reference field="12" count="1" selected="0">
            <x v="0"/>
          </reference>
          <reference field="14" count="1">
            <x v="0"/>
          </reference>
        </references>
      </pivotArea>
    </format>
    <format dxfId="502">
      <pivotArea dataOnly="0" labelOnly="1" outline="0" fieldPosition="0">
        <references count="6">
          <reference field="1" count="1" selected="0">
            <x v="191"/>
          </reference>
          <reference field="7" count="1" selected="0">
            <x v="5"/>
          </reference>
          <reference field="8" count="1" selected="0">
            <x v="6"/>
          </reference>
          <reference field="11" count="1" selected="0">
            <x v="133"/>
          </reference>
          <reference field="12" count="1" selected="0">
            <x v="1"/>
          </reference>
          <reference field="14" count="1">
            <x v="2"/>
          </reference>
        </references>
      </pivotArea>
    </format>
    <format dxfId="501">
      <pivotArea dataOnly="0" labelOnly="1" outline="0" fieldPosition="0">
        <references count="6">
          <reference field="1" count="1" selected="0">
            <x v="216"/>
          </reference>
          <reference field="7" count="1" selected="0">
            <x v="5"/>
          </reference>
          <reference field="8" count="1" selected="0">
            <x v="70"/>
          </reference>
          <reference field="11" count="1" selected="0">
            <x v="67"/>
          </reference>
          <reference field="12" count="1" selected="0">
            <x v="0"/>
          </reference>
          <reference field="14" count="1">
            <x v="0"/>
          </reference>
        </references>
      </pivotArea>
    </format>
    <format dxfId="500">
      <pivotArea dataOnly="0" labelOnly="1" outline="0" fieldPosition="0">
        <references count="6">
          <reference field="1" count="1" selected="0">
            <x v="217"/>
          </reference>
          <reference field="7" count="1" selected="0">
            <x v="5"/>
          </reference>
          <reference field="8" count="1" selected="0">
            <x v="48"/>
          </reference>
          <reference field="11" count="1" selected="0">
            <x v="81"/>
          </reference>
          <reference field="12" count="1" selected="0">
            <x v="1"/>
          </reference>
          <reference field="14" count="1">
            <x v="2"/>
          </reference>
        </references>
      </pivotArea>
    </format>
    <format dxfId="499">
      <pivotArea dataOnly="0" labelOnly="1" outline="0" fieldPosition="0">
        <references count="6">
          <reference field="1" count="1" selected="0">
            <x v="218"/>
          </reference>
          <reference field="7" count="1" selected="0">
            <x v="5"/>
          </reference>
          <reference field="8" count="1" selected="0">
            <x v="145"/>
          </reference>
          <reference field="11" count="1" selected="0">
            <x v="20"/>
          </reference>
          <reference field="12" count="1" selected="0">
            <x v="1"/>
          </reference>
          <reference field="14" count="1">
            <x v="0"/>
          </reference>
        </references>
      </pivotArea>
    </format>
    <format dxfId="498">
      <pivotArea dataOnly="0" labelOnly="1" outline="0" fieldPosition="0">
        <references count="6">
          <reference field="1" count="1" selected="0">
            <x v="220"/>
          </reference>
          <reference field="7" count="1" selected="0">
            <x v="5"/>
          </reference>
          <reference field="8" count="1" selected="0">
            <x v="158"/>
          </reference>
          <reference field="11" count="1" selected="0">
            <x v="5"/>
          </reference>
          <reference field="12" count="1" selected="0">
            <x v="0"/>
          </reference>
          <reference field="14" count="1">
            <x v="1"/>
          </reference>
        </references>
      </pivotArea>
    </format>
    <format dxfId="497">
      <pivotArea dataOnly="0" labelOnly="1" outline="0" fieldPosition="0">
        <references count="6">
          <reference field="1" count="1" selected="0">
            <x v="224"/>
          </reference>
          <reference field="7" count="1" selected="0">
            <x v="5"/>
          </reference>
          <reference field="8" count="1" selected="0">
            <x v="34"/>
          </reference>
          <reference field="11" count="1" selected="0">
            <x v="3"/>
          </reference>
          <reference field="12" count="1" selected="0">
            <x v="1"/>
          </reference>
          <reference field="14" count="1">
            <x v="2"/>
          </reference>
        </references>
      </pivotArea>
    </format>
    <format dxfId="496">
      <pivotArea dataOnly="0" labelOnly="1" outline="0" fieldPosition="0">
        <references count="6">
          <reference field="1" count="1" selected="0">
            <x v="227"/>
          </reference>
          <reference field="7" count="1" selected="0">
            <x v="5"/>
          </reference>
          <reference field="8" count="1" selected="0">
            <x v="158"/>
          </reference>
          <reference field="11" count="1" selected="0">
            <x v="4"/>
          </reference>
          <reference field="12" count="1" selected="0">
            <x v="0"/>
          </reference>
          <reference field="14" count="1">
            <x v="0"/>
          </reference>
        </references>
      </pivotArea>
    </format>
    <format dxfId="495">
      <pivotArea dataOnly="0" labelOnly="1" outline="0" fieldPosition="0">
        <references count="6">
          <reference field="1" count="1" selected="0">
            <x v="231"/>
          </reference>
          <reference field="7" count="1" selected="0">
            <x v="5"/>
          </reference>
          <reference field="8" count="1" selected="0">
            <x v="65"/>
          </reference>
          <reference field="11" count="1" selected="0">
            <x v="140"/>
          </reference>
          <reference field="12" count="1" selected="0">
            <x v="0"/>
          </reference>
          <reference field="14" count="1">
            <x v="2"/>
          </reference>
        </references>
      </pivotArea>
    </format>
    <format dxfId="494">
      <pivotArea dataOnly="0" labelOnly="1" outline="0" fieldPosition="0">
        <references count="6">
          <reference field="1" count="1" selected="0">
            <x v="235"/>
          </reference>
          <reference field="7" count="1" selected="0">
            <x v="5"/>
          </reference>
          <reference field="8" count="1" selected="0">
            <x v="85"/>
          </reference>
          <reference field="11" count="1" selected="0">
            <x v="53"/>
          </reference>
          <reference field="12" count="1" selected="0">
            <x v="0"/>
          </reference>
          <reference field="14" count="1">
            <x v="0"/>
          </reference>
        </references>
      </pivotArea>
    </format>
    <format dxfId="493">
      <pivotArea dataOnly="0" labelOnly="1" outline="0" fieldPosition="0">
        <references count="6">
          <reference field="1" count="1" selected="0">
            <x v="236"/>
          </reference>
          <reference field="7" count="1" selected="0">
            <x v="5"/>
          </reference>
          <reference field="8" count="1" selected="0">
            <x v="142"/>
          </reference>
          <reference field="11" count="1" selected="0">
            <x v="37"/>
          </reference>
          <reference field="12" count="1" selected="0">
            <x v="1"/>
          </reference>
          <reference field="14" count="1">
            <x v="2"/>
          </reference>
        </references>
      </pivotArea>
    </format>
    <format dxfId="492">
      <pivotArea dataOnly="0" labelOnly="1" outline="0" fieldPosition="0">
        <references count="6">
          <reference field="1" count="1" selected="0">
            <x v="178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0"/>
          </reference>
          <reference field="12" count="1" selected="0">
            <x v="0"/>
          </reference>
          <reference field="14" count="1">
            <x v="1"/>
          </reference>
        </references>
      </pivotArea>
    </format>
    <format dxfId="491">
      <pivotArea dataOnly="0" labelOnly="1" outline="0" fieldPosition="0">
        <references count="6">
          <reference field="1" count="1" selected="0">
            <x v="180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19"/>
          </reference>
          <reference field="12" count="1" selected="0">
            <x v="0"/>
          </reference>
          <reference field="14" count="1">
            <x v="2"/>
          </reference>
        </references>
      </pivotArea>
    </format>
    <format dxfId="490">
      <pivotArea dataOnly="0" labelOnly="1" outline="0" fieldPosition="0">
        <references count="6">
          <reference field="1" count="1" selected="0">
            <x v="209"/>
          </reference>
          <reference field="7" count="1" selected="0">
            <x v="6"/>
          </reference>
          <reference field="8" count="1" selected="0">
            <x v="68"/>
          </reference>
          <reference field="11" count="1" selected="0">
            <x v="74"/>
          </reference>
          <reference field="12" count="1" selected="0">
            <x v="0"/>
          </reference>
          <reference field="14" count="1">
            <x v="0"/>
          </reference>
        </references>
      </pivotArea>
    </format>
    <format dxfId="489">
      <pivotArea dataOnly="0" labelOnly="1" outline="0" fieldPosition="0">
        <references count="6">
          <reference field="1" count="1" selected="0">
            <x v="212"/>
          </reference>
          <reference field="7" count="1" selected="0">
            <x v="6"/>
          </reference>
          <reference field="8" count="1" selected="0">
            <x v="154"/>
          </reference>
          <reference field="11" count="1" selected="0">
            <x v="72"/>
          </reference>
          <reference field="12" count="1" selected="0">
            <x v="0"/>
          </reference>
          <reference field="14" count="1">
            <x v="2"/>
          </reference>
        </references>
      </pivotArea>
    </format>
    <format dxfId="488">
      <pivotArea dataOnly="0" labelOnly="1" outline="0" fieldPosition="0">
        <references count="6">
          <reference field="1" count="1" selected="0">
            <x v="243"/>
          </reference>
          <reference field="7" count="1" selected="0">
            <x v="6"/>
          </reference>
          <reference field="8" count="1" selected="0">
            <x v="93"/>
          </reference>
          <reference field="11" count="1" selected="0">
            <x v="128"/>
          </reference>
          <reference field="12" count="1" selected="0">
            <x v="0"/>
          </reference>
          <reference field="14" count="1">
            <x v="1"/>
          </reference>
        </references>
      </pivotArea>
    </format>
    <format dxfId="487">
      <pivotArea dataOnly="0" labelOnly="1" outline="0" fieldPosition="0">
        <references count="6">
          <reference field="1" count="1" selected="0">
            <x v="258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57"/>
          </reference>
          <reference field="12" count="1" selected="0">
            <x v="1"/>
          </reference>
          <reference field="14" count="1">
            <x v="2"/>
          </reference>
        </references>
      </pivotArea>
    </format>
    <format dxfId="486">
      <pivotArea dataOnly="0" labelOnly="1" outline="0" fieldPosition="0">
        <references count="6">
          <reference field="1" count="1" selected="0">
            <x v="64"/>
          </reference>
          <reference field="7" count="1" selected="0">
            <x v="8"/>
          </reference>
          <reference field="8" count="1" selected="0">
            <x v="83"/>
          </reference>
          <reference field="11" count="1" selected="0">
            <x v="71"/>
          </reference>
          <reference field="12" count="1" selected="0">
            <x v="1"/>
          </reference>
          <reference field="14" count="1">
            <x v="0"/>
          </reference>
        </references>
      </pivotArea>
    </format>
    <format dxfId="485">
      <pivotArea dataOnly="0" labelOnly="1" outline="0" fieldPosition="0">
        <references count="6">
          <reference field="1" count="1" selected="0">
            <x v="183"/>
          </reference>
          <reference field="7" count="1" selected="0">
            <x v="8"/>
          </reference>
          <reference field="8" count="1" selected="0">
            <x v="74"/>
          </reference>
          <reference field="11" count="1" selected="0">
            <x v="131"/>
          </reference>
          <reference field="12" count="1" selected="0">
            <x v="1"/>
          </reference>
          <reference field="14" count="1">
            <x v="2"/>
          </reference>
        </references>
      </pivotArea>
    </format>
    <format dxfId="484">
      <pivotArea dataOnly="0" labelOnly="1" outline="0" fieldPosition="0">
        <references count="6">
          <reference field="1" count="1" selected="0">
            <x v="185"/>
          </reference>
          <reference field="7" count="1" selected="0">
            <x v="12"/>
          </reference>
          <reference field="8" count="1" selected="0">
            <x v="114"/>
          </reference>
          <reference field="11" count="1" selected="0">
            <x v="137"/>
          </reference>
          <reference field="12" count="1" selected="0">
            <x v="1"/>
          </reference>
          <reference field="14" count="1">
            <x v="1"/>
          </reference>
        </references>
      </pivotArea>
    </format>
    <format dxfId="483">
      <pivotArea dataOnly="0" labelOnly="1" outline="0" fieldPosition="0">
        <references count="6">
          <reference field="1" count="1" selected="0">
            <x v="95"/>
          </reference>
          <reference field="7" count="1" selected="0">
            <x v="13"/>
          </reference>
          <reference field="8" count="1" selected="0">
            <x v="38"/>
          </reference>
          <reference field="11" count="1" selected="0">
            <x v="158"/>
          </reference>
          <reference field="12" count="1" selected="0">
            <x v="1"/>
          </reference>
          <reference field="14" count="1">
            <x v="2"/>
          </reference>
        </references>
      </pivotArea>
    </format>
    <format dxfId="482">
      <pivotArea dataOnly="0" labelOnly="1" outline="0" fieldPosition="0">
        <references count="6">
          <reference field="1" count="1" selected="0">
            <x v="96"/>
          </reference>
          <reference field="7" count="1" selected="0">
            <x v="13"/>
          </reference>
          <reference field="8" count="1" selected="0">
            <x v="88"/>
          </reference>
          <reference field="11" count="1" selected="0">
            <x v="157"/>
          </reference>
          <reference field="12" count="1" selected="0">
            <x v="1"/>
          </reference>
          <reference field="14" count="1">
            <x v="0"/>
          </reference>
        </references>
      </pivotArea>
    </format>
    <format dxfId="481">
      <pivotArea dataOnly="0" labelOnly="1" outline="0" fieldPosition="0">
        <references count="6">
          <reference field="1" count="1" selected="0">
            <x v="97"/>
          </reference>
          <reference field="7" count="1" selected="0">
            <x v="13"/>
          </reference>
          <reference field="8" count="1" selected="0">
            <x v="63"/>
          </reference>
          <reference field="11" count="1" selected="0">
            <x v="147"/>
          </reference>
          <reference field="12" count="1" selected="0">
            <x v="1"/>
          </reference>
          <reference field="14" count="1">
            <x v="2"/>
          </reference>
        </references>
      </pivotArea>
    </format>
    <format dxfId="480">
      <pivotArea dataOnly="0" labelOnly="1" outline="0" fieldPosition="0">
        <references count="6">
          <reference field="1" count="1" selected="0">
            <x v="238"/>
          </reference>
          <reference field="7" count="1" selected="0">
            <x v="13"/>
          </reference>
          <reference field="8" count="1" selected="0">
            <x v="10"/>
          </reference>
          <reference field="11" count="1" selected="0">
            <x v="103"/>
          </reference>
          <reference field="12" count="1" selected="0">
            <x v="1"/>
          </reference>
          <reference field="14" count="1">
            <x v="0"/>
          </reference>
        </references>
      </pivotArea>
    </format>
    <format dxfId="479">
      <pivotArea dataOnly="0" labelOnly="1" outline="0" fieldPosition="0">
        <references count="6">
          <reference field="1" count="1" selected="0">
            <x v="40"/>
          </reference>
          <reference field="7" count="1" selected="0">
            <x v="14"/>
          </reference>
          <reference field="8" count="1" selected="0">
            <x v="1"/>
          </reference>
          <reference field="11" count="1" selected="0">
            <x v="77"/>
          </reference>
          <reference field="12" count="1" selected="0">
            <x v="1"/>
          </reference>
          <reference field="14" count="1">
            <x v="2"/>
          </reference>
        </references>
      </pivotArea>
    </format>
    <format dxfId="478">
      <pivotArea dataOnly="0" labelOnly="1" outline="0" fieldPosition="0">
        <references count="6">
          <reference field="1" count="1" selected="0">
            <x v="91"/>
          </reference>
          <reference field="7" count="1" selected="0">
            <x v="15"/>
          </reference>
          <reference field="8" count="1" selected="0">
            <x v="158"/>
          </reference>
          <reference field="11" count="1" selected="0">
            <x v="144"/>
          </reference>
          <reference field="12" count="1" selected="0">
            <x v="1"/>
          </reference>
          <reference field="14" count="1">
            <x v="0"/>
          </reference>
        </references>
      </pivotArea>
    </format>
    <format dxfId="477">
      <pivotArea dataOnly="0" labelOnly="1" outline="0" fieldPosition="0">
        <references count="6">
          <reference field="1" count="1" selected="0">
            <x v="100"/>
          </reference>
          <reference field="7" count="1" selected="0">
            <x v="15"/>
          </reference>
          <reference field="8" count="1" selected="0">
            <x v="37"/>
          </reference>
          <reference field="11" count="1" selected="0">
            <x v="129"/>
          </reference>
          <reference field="12" count="1" selected="0">
            <x v="1"/>
          </reference>
          <reference field="14" count="1">
            <x v="2"/>
          </reference>
        </references>
      </pivotArea>
    </format>
    <format dxfId="476">
      <pivotArea dataOnly="0" labelOnly="1" outline="0" fieldPosition="0">
        <references count="6">
          <reference field="1" count="1" selected="0">
            <x v="257"/>
          </reference>
          <reference field="7" count="1" selected="0">
            <x v="15"/>
          </reference>
          <reference field="8" count="1" selected="0">
            <x v="12"/>
          </reference>
          <reference field="11" count="1" selected="0">
            <x v="135"/>
          </reference>
          <reference field="12" count="1" selected="0">
            <x v="1"/>
          </reference>
          <reference field="14" count="1">
            <x v="1"/>
          </reference>
        </references>
      </pivotArea>
    </format>
    <format dxfId="475">
      <pivotArea dataOnly="0" labelOnly="1" outline="0" fieldPosition="0">
        <references count="6">
          <reference field="1" count="1" selected="0">
            <x v="265"/>
          </reference>
          <reference field="7" count="1" selected="0">
            <x v="15"/>
          </reference>
          <reference field="8" count="1" selected="0">
            <x v="104"/>
          </reference>
          <reference field="11" count="1" selected="0">
            <x v="76"/>
          </reference>
          <reference field="12" count="1" selected="0">
            <x v="0"/>
          </reference>
          <reference field="14" count="1">
            <x v="2"/>
          </reference>
        </references>
      </pivotArea>
    </format>
    <format dxfId="474">
      <pivotArea dataOnly="0" labelOnly="1" outline="0" fieldPosition="0">
        <references count="6">
          <reference field="1" count="1" selected="0">
            <x v="233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4" count="1">
            <x v="1"/>
          </reference>
        </references>
      </pivotArea>
    </format>
    <format dxfId="473">
      <pivotArea dataOnly="0" labelOnly="1" outline="0" fieldPosition="0">
        <references count="6">
          <reference field="1" count="1" selected="0">
            <x v="47"/>
          </reference>
          <reference field="7" count="1" selected="0">
            <x v="17"/>
          </reference>
          <reference field="8" count="1" selected="0">
            <x v="32"/>
          </reference>
          <reference field="11" count="1" selected="0">
            <x v="142"/>
          </reference>
          <reference field="12" count="1" selected="0">
            <x v="1"/>
          </reference>
          <reference field="14" count="1">
            <x v="2"/>
          </reference>
        </references>
      </pivotArea>
    </format>
    <format dxfId="472">
      <pivotArea dataOnly="0" labelOnly="1" outline="0" fieldPosition="0">
        <references count="6">
          <reference field="1" count="1" selected="0">
            <x v="206"/>
          </reference>
          <reference field="7" count="1" selected="0">
            <x v="17"/>
          </reference>
          <reference field="8" count="1" selected="0">
            <x v="62"/>
          </reference>
          <reference field="11" count="1" selected="0">
            <x v="15"/>
          </reference>
          <reference field="12" count="1" selected="0">
            <x v="1"/>
          </reference>
          <reference field="14" count="1">
            <x v="0"/>
          </reference>
        </references>
      </pivotArea>
    </format>
    <format dxfId="471">
      <pivotArea dataOnly="0" labelOnly="1" outline="0" fieldPosition="0">
        <references count="6">
          <reference field="1" count="1" selected="0">
            <x v="207"/>
          </reference>
          <reference field="7" count="1" selected="0">
            <x v="17"/>
          </reference>
          <reference field="8" count="1" selected="0">
            <x v="144"/>
          </reference>
          <reference field="11" count="1" selected="0">
            <x v="79"/>
          </reference>
          <reference field="12" count="1" selected="0">
            <x v="1"/>
          </reference>
          <reference field="14" count="1">
            <x v="1"/>
          </reference>
        </references>
      </pivotArea>
    </format>
    <format dxfId="470">
      <pivotArea dataOnly="0" labelOnly="1" outline="0" fieldPosition="0">
        <references count="6">
          <reference field="1" count="1" selected="0">
            <x v="211"/>
          </reference>
          <reference field="7" count="1" selected="0">
            <x v="17"/>
          </reference>
          <reference field="8" count="1" selected="0">
            <x v="7"/>
          </reference>
          <reference field="11" count="1" selected="0">
            <x v="36"/>
          </reference>
          <reference field="12" count="1" selected="0">
            <x v="1"/>
          </reference>
          <reference field="14" count="1">
            <x v="2"/>
          </reference>
        </references>
      </pivotArea>
    </format>
    <format dxfId="469">
      <pivotArea dataOnly="0" labelOnly="1" outline="0" fieldPosition="0">
        <references count="6">
          <reference field="1" count="1" selected="0">
            <x v="230"/>
          </reference>
          <reference field="7" count="1" selected="0">
            <x v="17"/>
          </reference>
          <reference field="8" count="1" selected="0">
            <x v="84"/>
          </reference>
          <reference field="11" count="1" selected="0">
            <x v="93"/>
          </reference>
          <reference field="12" count="1" selected="0">
            <x v="1"/>
          </reference>
          <reference field="14" count="1">
            <x v="0"/>
          </reference>
        </references>
      </pivotArea>
    </format>
    <format dxfId="468">
      <pivotArea dataOnly="0" labelOnly="1" outline="0" fieldPosition="0">
        <references count="6">
          <reference field="1" count="1" selected="0">
            <x v="237"/>
          </reference>
          <reference field="7" count="1" selected="0">
            <x v="17"/>
          </reference>
          <reference field="8" count="1" selected="0">
            <x v="110"/>
          </reference>
          <reference field="11" count="1" selected="0">
            <x v="154"/>
          </reference>
          <reference field="12" count="1" selected="0">
            <x v="1"/>
          </reference>
          <reference field="14" count="1">
            <x v="2"/>
          </reference>
        </references>
      </pivotArea>
    </format>
    <format dxfId="467">
      <pivotArea dataOnly="0" labelOnly="1" outline="0" fieldPosition="0">
        <references count="6">
          <reference field="1" count="1" selected="0">
            <x v="264"/>
          </reference>
          <reference field="7" count="1" selected="0">
            <x v="17"/>
          </reference>
          <reference field="8" count="1" selected="0">
            <x v="71"/>
          </reference>
          <reference field="11" count="1" selected="0">
            <x v="101"/>
          </reference>
          <reference field="12" count="1" selected="0">
            <x v="1"/>
          </reference>
          <reference field="14" count="1">
            <x v="0"/>
          </reference>
        </references>
      </pivotArea>
    </format>
    <format dxfId="466">
      <pivotArea dataOnly="0" labelOnly="1" outline="0" fieldPosition="0">
        <references count="6">
          <reference field="1" count="1" selected="0">
            <x v="270"/>
          </reference>
          <reference field="7" count="1" selected="0">
            <x v="17"/>
          </reference>
          <reference field="8" count="1" selected="0">
            <x v="95"/>
          </reference>
          <reference field="11" count="1" selected="0">
            <x v="82"/>
          </reference>
          <reference field="12" count="1" selected="0">
            <x v="1"/>
          </reference>
          <reference field="14" count="1">
            <x v="2"/>
          </reference>
        </references>
      </pivotArea>
    </format>
    <format dxfId="465">
      <pivotArea dataOnly="0" labelOnly="1" outline="0" fieldPosition="0">
        <references count="6">
          <reference field="1" count="1" selected="0">
            <x v="90"/>
          </reference>
          <reference field="7" count="1" selected="0">
            <x v="19"/>
          </reference>
          <reference field="8" count="1" selected="0">
            <x v="14"/>
          </reference>
          <reference field="11" count="1" selected="0">
            <x v="0"/>
          </reference>
          <reference field="12" count="1" selected="0">
            <x v="1"/>
          </reference>
          <reference field="14" count="1">
            <x v="1"/>
          </reference>
        </references>
      </pivotArea>
    </format>
    <format dxfId="464">
      <pivotArea dataOnly="0" labelOnly="1" outline="0" fieldPosition="0">
        <references count="6">
          <reference field="1" count="1" selected="0">
            <x v="41"/>
          </reference>
          <reference field="7" count="1" selected="0">
            <x v="20"/>
          </reference>
          <reference field="8" count="1" selected="0">
            <x v="137"/>
          </reference>
          <reference field="11" count="1" selected="0">
            <x v="89"/>
          </reference>
          <reference field="12" count="1" selected="0">
            <x v="1"/>
          </reference>
          <reference field="14" count="1">
            <x v="2"/>
          </reference>
        </references>
      </pivotArea>
    </format>
    <format dxfId="463">
      <pivotArea dataOnly="0" labelOnly="1" outline="0" fieldPosition="0">
        <references count="7">
          <reference field="1" count="1" selected="0">
            <x v="121"/>
          </reference>
          <reference field="7" count="1" selected="0">
            <x v="0"/>
          </reference>
          <reference field="8" count="1" selected="0">
            <x v="158"/>
          </reference>
          <reference field="11" count="1" selected="0">
            <x v="136"/>
          </reference>
          <reference field="12" count="1" selected="0">
            <x v="1"/>
          </reference>
          <reference field="13" count="1">
            <x v="231"/>
          </reference>
          <reference field="14" count="1" selected="0">
            <x v="2"/>
          </reference>
        </references>
      </pivotArea>
    </format>
    <format dxfId="462">
      <pivotArea dataOnly="0" labelOnly="1" outline="0" fieldPosition="0">
        <references count="7">
          <reference field="1" count="1" selected="0">
            <x v="122"/>
          </reference>
          <reference field="7" count="1" selected="0">
            <x v="0"/>
          </reference>
          <reference field="8" count="1" selected="0">
            <x v="23"/>
          </reference>
          <reference field="11" count="1" selected="0">
            <x v="146"/>
          </reference>
          <reference field="12" count="1" selected="0">
            <x v="1"/>
          </reference>
          <reference field="13" count="1">
            <x v="225"/>
          </reference>
          <reference field="14" count="1" selected="0">
            <x v="2"/>
          </reference>
        </references>
      </pivotArea>
    </format>
    <format dxfId="461">
      <pivotArea dataOnly="0" labelOnly="1" outline="0" fieldPosition="0">
        <references count="7">
          <reference field="1" count="1" selected="0">
            <x v="124"/>
          </reference>
          <reference field="7" count="1" selected="0">
            <x v="0"/>
          </reference>
          <reference field="8" count="1" selected="0">
            <x v="28"/>
          </reference>
          <reference field="11" count="1" selected="0">
            <x v="47"/>
          </reference>
          <reference field="12" count="1" selected="0">
            <x v="1"/>
          </reference>
          <reference field="13" count="1">
            <x v="185"/>
          </reference>
          <reference field="14" count="1" selected="0">
            <x v="2"/>
          </reference>
        </references>
      </pivotArea>
    </format>
    <format dxfId="460">
      <pivotArea dataOnly="0" labelOnly="1" outline="0" fieldPosition="0">
        <references count="7">
          <reference field="1" count="1" selected="0">
            <x v="173"/>
          </reference>
          <reference field="7" count="1" selected="0">
            <x v="0"/>
          </reference>
          <reference field="8" count="1" selected="0">
            <x v="101"/>
          </reference>
          <reference field="11" count="1" selected="0">
            <x v="56"/>
          </reference>
          <reference field="12" count="1" selected="0">
            <x v="1"/>
          </reference>
          <reference field="13" count="1">
            <x v="181"/>
          </reference>
          <reference field="14" count="1" selected="0">
            <x v="2"/>
          </reference>
        </references>
      </pivotArea>
    </format>
    <format dxfId="459">
      <pivotArea dataOnly="0" labelOnly="1" outline="0" fieldPosition="0">
        <references count="7">
          <reference field="1" count="1" selected="0">
            <x v="195"/>
          </reference>
          <reference field="7" count="1" selected="0">
            <x v="0"/>
          </reference>
          <reference field="8" count="1" selected="0">
            <x v="35"/>
          </reference>
          <reference field="11" count="1" selected="0">
            <x v="130"/>
          </reference>
          <reference field="12" count="1" selected="0">
            <x v="1"/>
          </reference>
          <reference field="13" count="1">
            <x v="232"/>
          </reference>
          <reference field="14" count="1" selected="0">
            <x v="2"/>
          </reference>
        </references>
      </pivotArea>
    </format>
    <format dxfId="458">
      <pivotArea dataOnly="0" labelOnly="1" outline="0" fieldPosition="0">
        <references count="7">
          <reference field="1" count="1" selected="0">
            <x v="196"/>
          </reference>
          <reference field="7" count="1" selected="0">
            <x v="0"/>
          </reference>
          <reference field="8" count="1" selected="0">
            <x v="58"/>
          </reference>
          <reference field="11" count="1" selected="0">
            <x v="136"/>
          </reference>
          <reference field="12" count="1" selected="0">
            <x v="1"/>
          </reference>
          <reference field="13" count="1">
            <x v="227"/>
          </reference>
          <reference field="14" count="1" selected="0">
            <x v="2"/>
          </reference>
        </references>
      </pivotArea>
    </format>
    <format dxfId="457">
      <pivotArea dataOnly="0" labelOnly="1" outline="0" fieldPosition="0">
        <references count="7">
          <reference field="1" count="1" selected="0">
            <x v="198"/>
          </reference>
          <reference field="7" count="1" selected="0">
            <x v="0"/>
          </reference>
          <reference field="8" count="1" selected="0">
            <x v="24"/>
          </reference>
          <reference field="11" count="1" selected="0">
            <x v="95"/>
          </reference>
          <reference field="12" count="1" selected="0">
            <x v="1"/>
          </reference>
          <reference field="13" count="1">
            <x v="88"/>
          </reference>
          <reference field="14" count="1" selected="0">
            <x v="2"/>
          </reference>
        </references>
      </pivotArea>
    </format>
    <format dxfId="456">
      <pivotArea dataOnly="0" labelOnly="1" outline="0" fieldPosition="0">
        <references count="7">
          <reference field="1" count="1" selected="0">
            <x v="200"/>
          </reference>
          <reference field="7" count="1" selected="0">
            <x v="0"/>
          </reference>
          <reference field="8" count="1" selected="0">
            <x v="45"/>
          </reference>
          <reference field="11" count="1" selected="0">
            <x v="148"/>
          </reference>
          <reference field="12" count="1" selected="0">
            <x v="1"/>
          </reference>
          <reference field="13" count="1">
            <x v="212"/>
          </reference>
          <reference field="14" count="1" selected="0">
            <x v="2"/>
          </reference>
        </references>
      </pivotArea>
    </format>
    <format dxfId="455">
      <pivotArea dataOnly="0" labelOnly="1" outline="0" fieldPosition="0">
        <references count="7">
          <reference field="1" count="1" selected="0">
            <x v="201"/>
          </reference>
          <reference field="7" count="1" selected="0">
            <x v="0"/>
          </reference>
          <reference field="8" count="1" selected="0">
            <x v="158"/>
          </reference>
          <reference field="11" count="1" selected="0">
            <x v="40"/>
          </reference>
          <reference field="12" count="1" selected="0">
            <x v="1"/>
          </reference>
          <reference field="13" count="1">
            <x v="182"/>
          </reference>
          <reference field="14" count="1" selected="0">
            <x v="2"/>
          </reference>
        </references>
      </pivotArea>
    </format>
    <format dxfId="454">
      <pivotArea dataOnly="0" labelOnly="1" outline="0" fieldPosition="0">
        <references count="7">
          <reference field="1" count="1" selected="0">
            <x v="240"/>
          </reference>
          <reference field="7" count="1" selected="0">
            <x v="0"/>
          </reference>
          <reference field="8" count="1" selected="0">
            <x v="19"/>
          </reference>
          <reference field="11" count="1" selected="0">
            <x v="108"/>
          </reference>
          <reference field="12" count="1" selected="0">
            <x v="1"/>
          </reference>
          <reference field="13" count="1">
            <x v="204"/>
          </reference>
          <reference field="14" count="1" selected="0">
            <x v="2"/>
          </reference>
        </references>
      </pivotArea>
    </format>
    <format dxfId="453">
      <pivotArea dataOnly="0" labelOnly="1" outline="0" fieldPosition="0">
        <references count="7">
          <reference field="1" count="1" selected="0">
            <x v="247"/>
          </reference>
          <reference field="7" count="1" selected="0">
            <x v="0"/>
          </reference>
          <reference field="8" count="1" selected="0">
            <x v="39"/>
          </reference>
          <reference field="11" count="1" selected="0">
            <x v="138"/>
          </reference>
          <reference field="12" count="1" selected="0">
            <x v="1"/>
          </reference>
          <reference field="13" count="1">
            <x v="224"/>
          </reference>
          <reference field="14" count="1" selected="0">
            <x v="2"/>
          </reference>
        </references>
      </pivotArea>
    </format>
    <format dxfId="452">
      <pivotArea dataOnly="0" labelOnly="1" outline="0" fieldPosition="0">
        <references count="7">
          <reference field="1" count="1" selected="0">
            <x v="248"/>
          </reference>
          <reference field="7" count="1" selected="0">
            <x v="0"/>
          </reference>
          <reference field="8" count="1" selected="0">
            <x v="100"/>
          </reference>
          <reference field="11" count="1" selected="0">
            <x v="160"/>
          </reference>
          <reference field="12" count="1" selected="0">
            <x v="1"/>
          </reference>
          <reference field="13" count="1">
            <x v="213"/>
          </reference>
          <reference field="14" count="1" selected="0">
            <x v="2"/>
          </reference>
        </references>
      </pivotArea>
    </format>
    <format dxfId="451">
      <pivotArea dataOnly="0" labelOnly="1" outline="0" fieldPosition="0">
        <references count="7">
          <reference field="1" count="1" selected="0">
            <x v="23"/>
          </reference>
          <reference field="7" count="1" selected="0">
            <x v="1"/>
          </reference>
          <reference field="8" count="1" selected="0">
            <x v="113"/>
          </reference>
          <reference field="11" count="1" selected="0">
            <x v="102"/>
          </reference>
          <reference field="12" count="1" selected="0">
            <x v="1"/>
          </reference>
          <reference field="13" count="1">
            <x v="40"/>
          </reference>
          <reference field="14" count="1" selected="0">
            <x v="2"/>
          </reference>
        </references>
      </pivotArea>
    </format>
    <format dxfId="450">
      <pivotArea dataOnly="0" labelOnly="1" outline="0" fieldPosition="0">
        <references count="7">
          <reference field="1" count="1" selected="0">
            <x v="44"/>
          </reference>
          <reference field="7" count="1" selected="0">
            <x v="1"/>
          </reference>
          <reference field="8" count="1" selected="0">
            <x v="116"/>
          </reference>
          <reference field="11" count="1" selected="0">
            <x v="119"/>
          </reference>
          <reference field="12" count="1" selected="0">
            <x v="1"/>
          </reference>
          <reference field="13" count="1">
            <x v="49"/>
          </reference>
          <reference field="14" count="1" selected="0">
            <x v="2"/>
          </reference>
        </references>
      </pivotArea>
    </format>
    <format dxfId="449">
      <pivotArea dataOnly="0" labelOnly="1" outline="0" fieldPosition="0">
        <references count="7">
          <reference field="1" count="1" selected="0">
            <x v="60"/>
          </reference>
          <reference field="7" count="1" selected="0">
            <x v="1"/>
          </reference>
          <reference field="8" count="1" selected="0">
            <x v="121"/>
          </reference>
          <reference field="11" count="1" selected="0">
            <x v="126"/>
          </reference>
          <reference field="12" count="1" selected="0">
            <x v="1"/>
          </reference>
          <reference field="13" count="1">
            <x v="46"/>
          </reference>
          <reference field="14" count="1" selected="0">
            <x v="2"/>
          </reference>
        </references>
      </pivotArea>
    </format>
    <format dxfId="448">
      <pivotArea dataOnly="0" labelOnly="1" outline="0" fieldPosition="0">
        <references count="7">
          <reference field="1" count="1" selected="0">
            <x v="73"/>
          </reference>
          <reference field="7" count="1" selected="0">
            <x v="1"/>
          </reference>
          <reference field="8" count="1" selected="0">
            <x v="127"/>
          </reference>
          <reference field="11" count="1" selected="0">
            <x v="126"/>
          </reference>
          <reference field="12" count="1" selected="0">
            <x v="1"/>
          </reference>
          <reference field="13" count="1">
            <x v="56"/>
          </reference>
          <reference field="14" count="1" selected="0">
            <x v="2"/>
          </reference>
        </references>
      </pivotArea>
    </format>
    <format dxfId="447">
      <pivotArea dataOnly="0" labelOnly="1" outline="0" fieldPosition="0">
        <references count="7">
          <reference field="1" count="1" selected="0">
            <x v="79"/>
          </reference>
          <reference field="7" count="1" selected="0">
            <x v="1"/>
          </reference>
          <reference field="8" count="1" selected="0">
            <x v="136"/>
          </reference>
          <reference field="11" count="1" selected="0">
            <x v="125"/>
          </reference>
          <reference field="12" count="1" selected="0">
            <x v="1"/>
          </reference>
          <reference field="13" count="1">
            <x v="42"/>
          </reference>
          <reference field="14" count="1" selected="0">
            <x v="2"/>
          </reference>
        </references>
      </pivotArea>
    </format>
    <format dxfId="446">
      <pivotArea dataOnly="0" labelOnly="1" outline="0" fieldPosition="0">
        <references count="7">
          <reference field="1" count="1" selected="0">
            <x v="251"/>
          </reference>
          <reference field="7" count="1" selected="0">
            <x v="1"/>
          </reference>
          <reference field="8" count="1" selected="0">
            <x v="158"/>
          </reference>
          <reference field="11" count="1" selected="0">
            <x v="31"/>
          </reference>
          <reference field="12" count="1" selected="0">
            <x v="1"/>
          </reference>
          <reference field="13" count="1">
            <x v="278"/>
          </reference>
          <reference field="14" count="1" selected="0">
            <x v="0"/>
          </reference>
        </references>
      </pivotArea>
    </format>
    <format dxfId="445">
      <pivotArea dataOnly="0" labelOnly="1" outline="0" fieldPosition="0">
        <references count="7">
          <reference field="1" count="1" selected="0">
            <x v="252"/>
          </reference>
          <reference field="7" count="1" selected="0">
            <x v="1"/>
          </reference>
          <reference field="8" count="1" selected="0">
            <x v="158"/>
          </reference>
          <reference field="11" count="1" selected="0">
            <x v="39"/>
          </reference>
          <reference field="12" count="1" selected="0">
            <x v="1"/>
          </reference>
          <reference field="13" count="1">
            <x v="2"/>
          </reference>
          <reference field="14" count="1" selected="0">
            <x v="0"/>
          </reference>
        </references>
      </pivotArea>
    </format>
    <format dxfId="444">
      <pivotArea dataOnly="0" labelOnly="1" outline="0" fieldPosition="0">
        <references count="7">
          <reference field="1" count="1" selected="0">
            <x v="0"/>
          </reference>
          <reference field="7" count="1" selected="0">
            <x v="2"/>
          </reference>
          <reference field="8" count="1" selected="0">
            <x v="147"/>
          </reference>
          <reference field="11" count="1" selected="0">
            <x v="13"/>
          </reference>
          <reference field="12" count="1" selected="0">
            <x v="0"/>
          </reference>
          <reference field="13" count="1">
            <x v="168"/>
          </reference>
          <reference field="14" count="1" selected="0">
            <x v="2"/>
          </reference>
        </references>
      </pivotArea>
    </format>
    <format dxfId="443">
      <pivotArea dataOnly="0" labelOnly="1" outline="0" fieldPosition="0">
        <references count="7">
          <reference field="1" count="1" selected="0">
            <x v="1"/>
          </reference>
          <reference field="7" count="1" selected="0">
            <x v="2"/>
          </reference>
          <reference field="8" count="1" selected="0">
            <x v="147"/>
          </reference>
          <reference field="11" count="1" selected="0">
            <x v="10"/>
          </reference>
          <reference field="12" count="1" selected="0">
            <x v="0"/>
          </reference>
          <reference field="13" count="1">
            <x v="167"/>
          </reference>
          <reference field="14" count="1" selected="0">
            <x v="2"/>
          </reference>
        </references>
      </pivotArea>
    </format>
    <format dxfId="442">
      <pivotArea dataOnly="0" labelOnly="1" outline="0" fieldPosition="0">
        <references count="7">
          <reference field="1" count="1" selected="0">
            <x v="2"/>
          </reference>
          <reference field="7" count="1" selected="0">
            <x v="2"/>
          </reference>
          <reference field="8" count="1" selected="0">
            <x v="147"/>
          </reference>
          <reference field="11" count="1" selected="0">
            <x v="13"/>
          </reference>
          <reference field="12" count="1" selected="0">
            <x v="0"/>
          </reference>
          <reference field="13" count="1">
            <x v="169"/>
          </reference>
          <reference field="14" count="1" selected="0">
            <x v="2"/>
          </reference>
        </references>
      </pivotArea>
    </format>
    <format dxfId="441">
      <pivotArea dataOnly="0" labelOnly="1" outline="0" fieldPosition="0">
        <references count="7">
          <reference field="1" count="1" selected="0">
            <x v="3"/>
          </reference>
          <reference field="7" count="1" selected="0">
            <x v="2"/>
          </reference>
          <reference field="8" count="1" selected="0">
            <x v="147"/>
          </reference>
          <reference field="11" count="1" selected="0">
            <x v="22"/>
          </reference>
          <reference field="12" count="1" selected="0">
            <x v="0"/>
          </reference>
          <reference field="13" count="1">
            <x v="170"/>
          </reference>
          <reference field="14" count="1" selected="0">
            <x v="2"/>
          </reference>
        </references>
      </pivotArea>
    </format>
    <format dxfId="440">
      <pivotArea dataOnly="0" labelOnly="1" outline="0" fieldPosition="0">
        <references count="7">
          <reference field="1" count="1" selected="0">
            <x v="4"/>
          </reference>
          <reference field="7" count="1" selected="0">
            <x v="2"/>
          </reference>
          <reference field="8" count="1" selected="0">
            <x v="147"/>
          </reference>
          <reference field="11" count="1" selected="0">
            <x v="13"/>
          </reference>
          <reference field="12" count="1" selected="0">
            <x v="0"/>
          </reference>
          <reference field="13" count="1">
            <x v="171"/>
          </reference>
          <reference field="14" count="1" selected="0">
            <x v="2"/>
          </reference>
        </references>
      </pivotArea>
    </format>
    <format dxfId="439">
      <pivotArea dataOnly="0" labelOnly="1" outline="0" fieldPosition="0">
        <references count="7">
          <reference field="1" count="1" selected="0">
            <x v="5"/>
          </reference>
          <reference field="7" count="1" selected="0">
            <x v="2"/>
          </reference>
          <reference field="8" count="1" selected="0">
            <x v="147"/>
          </reference>
          <reference field="11" count="1" selected="0">
            <x v="13"/>
          </reference>
          <reference field="12" count="1" selected="0">
            <x v="0"/>
          </reference>
          <reference field="13" count="1">
            <x v="172"/>
          </reference>
          <reference field="14" count="1" selected="0">
            <x v="2"/>
          </reference>
        </references>
      </pivotArea>
    </format>
    <format dxfId="438">
      <pivotArea dataOnly="0" labelOnly="1" outline="0" fieldPosition="0">
        <references count="7">
          <reference field="1" count="1" selected="0">
            <x v="16"/>
          </reference>
          <reference field="7" count="1" selected="0">
            <x v="2"/>
          </reference>
          <reference field="8" count="1" selected="0">
            <x v="147"/>
          </reference>
          <reference field="11" count="1" selected="0">
            <x v="13"/>
          </reference>
          <reference field="12" count="1" selected="0">
            <x v="0"/>
          </reference>
          <reference field="13" count="1">
            <x v="176"/>
          </reference>
          <reference field="14" count="1" selected="0">
            <x v="2"/>
          </reference>
        </references>
      </pivotArea>
    </format>
    <format dxfId="437">
      <pivotArea dataOnly="0" labelOnly="1" outline="0" fieldPosition="0">
        <references count="7">
          <reference field="1" count="1" selected="0">
            <x v="18"/>
          </reference>
          <reference field="7" count="1" selected="0">
            <x v="2"/>
          </reference>
          <reference field="8" count="1" selected="0">
            <x v="147"/>
          </reference>
          <reference field="11" count="1" selected="0">
            <x v="13"/>
          </reference>
          <reference field="12" count="1" selected="0">
            <x v="0"/>
          </reference>
          <reference field="13" count="1">
            <x v="173"/>
          </reference>
          <reference field="14" count="1" selected="0">
            <x v="2"/>
          </reference>
        </references>
      </pivotArea>
    </format>
    <format dxfId="436">
      <pivotArea dataOnly="0" labelOnly="1" outline="0" fieldPosition="0">
        <references count="7">
          <reference field="1" count="1" selected="0">
            <x v="21"/>
          </reference>
          <reference field="7" count="1" selected="0">
            <x v="2"/>
          </reference>
          <reference field="8" count="1" selected="0">
            <x v="147"/>
          </reference>
          <reference field="11" count="1" selected="0">
            <x v="13"/>
          </reference>
          <reference field="12" count="1" selected="0">
            <x v="0"/>
          </reference>
          <reference field="13" count="1">
            <x v="174"/>
          </reference>
          <reference field="14" count="1" selected="0">
            <x v="2"/>
          </reference>
        </references>
      </pivotArea>
    </format>
    <format dxfId="435">
      <pivotArea dataOnly="0" labelOnly="1" outline="0" fieldPosition="0">
        <references count="7">
          <reference field="1" count="1" selected="0">
            <x v="52"/>
          </reference>
          <reference field="7" count="1" selected="0">
            <x v="2"/>
          </reference>
          <reference field="8" count="1" selected="0">
            <x v="147"/>
          </reference>
          <reference field="11" count="1" selected="0">
            <x v="13"/>
          </reference>
          <reference field="12" count="1" selected="0">
            <x v="0"/>
          </reference>
          <reference field="13" count="1">
            <x v="175"/>
          </reference>
          <reference field="14" count="1" selected="0">
            <x v="2"/>
          </reference>
        </references>
      </pivotArea>
    </format>
    <format dxfId="434">
      <pivotArea dataOnly="0" labelOnly="1" outline="0" fieldPosition="0">
        <references count="7">
          <reference field="1" count="1" selected="0">
            <x v="117"/>
          </reference>
          <reference field="7" count="1" selected="0">
            <x v="2"/>
          </reference>
          <reference field="8" count="1" selected="0">
            <x v="158"/>
          </reference>
          <reference field="11" count="1" selected="0">
            <x v="13"/>
          </reference>
          <reference field="12" count="1" selected="0">
            <x v="0"/>
          </reference>
          <reference field="13" count="1">
            <x v="4"/>
          </reference>
          <reference field="14" count="1" selected="0">
            <x v="2"/>
          </reference>
        </references>
      </pivotArea>
    </format>
    <format dxfId="433">
      <pivotArea dataOnly="0" labelOnly="1" outline="0" fieldPosition="0">
        <references count="7">
          <reference field="1" count="1" selected="0">
            <x v="105"/>
          </reference>
          <reference field="7" count="1" selected="0">
            <x v="3"/>
          </reference>
          <reference field="8" count="1" selected="0">
            <x v="158"/>
          </reference>
          <reference field="11" count="1" selected="0">
            <x v="11"/>
          </reference>
          <reference field="12" count="1" selected="0">
            <x v="0"/>
          </reference>
          <reference field="13" count="1">
            <x v="163"/>
          </reference>
          <reference field="14" count="1" selected="0">
            <x v="2"/>
          </reference>
        </references>
      </pivotArea>
    </format>
    <format dxfId="432">
      <pivotArea dataOnly="0" labelOnly="1" outline="0" fieldPosition="0">
        <references count="7">
          <reference field="1" count="1" selected="0">
            <x v="106"/>
          </reference>
          <reference field="7" count="1" selected="0">
            <x v="3"/>
          </reference>
          <reference field="8" count="1" selected="0">
            <x v="158"/>
          </reference>
          <reference field="11" count="1" selected="0">
            <x v="11"/>
          </reference>
          <reference field="12" count="1" selected="0">
            <x v="0"/>
          </reference>
          <reference field="13" count="1">
            <x v="153"/>
          </reference>
          <reference field="14" count="1" selected="0">
            <x v="2"/>
          </reference>
        </references>
      </pivotArea>
    </format>
    <format dxfId="431">
      <pivotArea dataOnly="0" labelOnly="1" outline="0" fieldPosition="0">
        <references count="7">
          <reference field="1" count="1" selected="0">
            <x v="107"/>
          </reference>
          <reference field="7" count="1" selected="0">
            <x v="3"/>
          </reference>
          <reference field="8" count="1" selected="0">
            <x v="158"/>
          </reference>
          <reference field="11" count="1" selected="0">
            <x v="11"/>
          </reference>
          <reference field="12" count="1" selected="0">
            <x v="0"/>
          </reference>
          <reference field="13" count="1">
            <x v="154"/>
          </reference>
          <reference field="14" count="1" selected="0">
            <x v="2"/>
          </reference>
        </references>
      </pivotArea>
    </format>
    <format dxfId="430">
      <pivotArea dataOnly="0" labelOnly="1" outline="0" fieldPosition="0">
        <references count="7">
          <reference field="1" count="1" selected="0">
            <x v="108"/>
          </reference>
          <reference field="7" count="1" selected="0">
            <x v="3"/>
          </reference>
          <reference field="8" count="1" selected="0">
            <x v="158"/>
          </reference>
          <reference field="11" count="1" selected="0">
            <x v="11"/>
          </reference>
          <reference field="12" count="1" selected="0">
            <x v="0"/>
          </reference>
          <reference field="13" count="1">
            <x v="159"/>
          </reference>
          <reference field="14" count="1" selected="0">
            <x v="2"/>
          </reference>
        </references>
      </pivotArea>
    </format>
    <format dxfId="429">
      <pivotArea dataOnly="0" labelOnly="1" outline="0" fieldPosition="0">
        <references count="7">
          <reference field="1" count="1" selected="0">
            <x v="109"/>
          </reference>
          <reference field="7" count="1" selected="0">
            <x v="3"/>
          </reference>
          <reference field="8" count="1" selected="0">
            <x v="158"/>
          </reference>
          <reference field="11" count="1" selected="0">
            <x v="11"/>
          </reference>
          <reference field="12" count="1" selected="0">
            <x v="0"/>
          </reference>
          <reference field="13" count="1">
            <x v="156"/>
          </reference>
          <reference field="14" count="1" selected="0">
            <x v="2"/>
          </reference>
        </references>
      </pivotArea>
    </format>
    <format dxfId="428">
      <pivotArea dataOnly="0" labelOnly="1" outline="0" fieldPosition="0">
        <references count="7">
          <reference field="1" count="1" selected="0">
            <x v="110"/>
          </reference>
          <reference field="7" count="1" selected="0">
            <x v="3"/>
          </reference>
          <reference field="8" count="1" selected="0">
            <x v="158"/>
          </reference>
          <reference field="11" count="1" selected="0">
            <x v="11"/>
          </reference>
          <reference field="12" count="1" selected="0">
            <x v="0"/>
          </reference>
          <reference field="13" count="1">
            <x v="157"/>
          </reference>
          <reference field="14" count="1" selected="0">
            <x v="2"/>
          </reference>
        </references>
      </pivotArea>
    </format>
    <format dxfId="427">
      <pivotArea dataOnly="0" labelOnly="1" outline="0" fieldPosition="0">
        <references count="7">
          <reference field="1" count="1" selected="0">
            <x v="111"/>
          </reference>
          <reference field="7" count="1" selected="0">
            <x v="3"/>
          </reference>
          <reference field="8" count="1" selected="0">
            <x v="158"/>
          </reference>
          <reference field="11" count="1" selected="0">
            <x v="11"/>
          </reference>
          <reference field="12" count="1" selected="0">
            <x v="0"/>
          </reference>
          <reference field="13" count="1">
            <x v="164"/>
          </reference>
          <reference field="14" count="1" selected="0">
            <x v="2"/>
          </reference>
        </references>
      </pivotArea>
    </format>
    <format dxfId="426">
      <pivotArea dataOnly="0" labelOnly="1" outline="0" fieldPosition="0">
        <references count="7">
          <reference field="1" count="1" selected="0">
            <x v="112"/>
          </reference>
          <reference field="7" count="1" selected="0">
            <x v="3"/>
          </reference>
          <reference field="8" count="1" selected="0">
            <x v="158"/>
          </reference>
          <reference field="11" count="1" selected="0">
            <x v="11"/>
          </reference>
          <reference field="12" count="1" selected="0">
            <x v="0"/>
          </reference>
          <reference field="13" count="1">
            <x v="161"/>
          </reference>
          <reference field="14" count="1" selected="0">
            <x v="2"/>
          </reference>
        </references>
      </pivotArea>
    </format>
    <format dxfId="425">
      <pivotArea dataOnly="0" labelOnly="1" outline="0" fieldPosition="0">
        <references count="7">
          <reference field="1" count="1" selected="0">
            <x v="113"/>
          </reference>
          <reference field="7" count="1" selected="0">
            <x v="3"/>
          </reference>
          <reference field="8" count="1" selected="0">
            <x v="158"/>
          </reference>
          <reference field="11" count="1" selected="0">
            <x v="11"/>
          </reference>
          <reference field="12" count="1" selected="0">
            <x v="0"/>
          </reference>
          <reference field="13" count="1">
            <x v="162"/>
          </reference>
          <reference field="14" count="1" selected="0">
            <x v="2"/>
          </reference>
        </references>
      </pivotArea>
    </format>
    <format dxfId="424">
      <pivotArea dataOnly="0" labelOnly="1" outline="0" fieldPosition="0">
        <references count="7">
          <reference field="1" count="1" selected="0">
            <x v="114"/>
          </reference>
          <reference field="7" count="1" selected="0">
            <x v="3"/>
          </reference>
          <reference field="8" count="1" selected="0">
            <x v="158"/>
          </reference>
          <reference field="11" count="1" selected="0">
            <x v="11"/>
          </reference>
          <reference field="12" count="1" selected="0">
            <x v="0"/>
          </reference>
          <reference field="13" count="1">
            <x v="158"/>
          </reference>
          <reference field="14" count="1" selected="0">
            <x v="2"/>
          </reference>
        </references>
      </pivotArea>
    </format>
    <format dxfId="423">
      <pivotArea dataOnly="0" labelOnly="1" outline="0" fieldPosition="0">
        <references count="7">
          <reference field="1" count="1" selected="0">
            <x v="115"/>
          </reference>
          <reference field="7" count="1" selected="0">
            <x v="3"/>
          </reference>
          <reference field="8" count="1" selected="0">
            <x v="158"/>
          </reference>
          <reference field="11" count="1" selected="0">
            <x v="11"/>
          </reference>
          <reference field="12" count="1" selected="0">
            <x v="0"/>
          </reference>
          <reference field="13" count="1">
            <x v="165"/>
          </reference>
          <reference field="14" count="1" selected="0">
            <x v="2"/>
          </reference>
        </references>
      </pivotArea>
    </format>
    <format dxfId="422">
      <pivotArea dataOnly="0" labelOnly="1" outline="0" fieldPosition="0">
        <references count="7">
          <reference field="1" count="1" selected="0">
            <x v="116"/>
          </reference>
          <reference field="7" count="1" selected="0">
            <x v="3"/>
          </reference>
          <reference field="8" count="1" selected="0">
            <x v="158"/>
          </reference>
          <reference field="11" count="1" selected="0">
            <x v="11"/>
          </reference>
          <reference field="12" count="1" selected="0">
            <x v="0"/>
          </reference>
          <reference field="13" count="1">
            <x v="160"/>
          </reference>
          <reference field="14" count="1" selected="0">
            <x v="2"/>
          </reference>
        </references>
      </pivotArea>
    </format>
    <format dxfId="421">
      <pivotArea dataOnly="0" labelOnly="1" outline="0" fieldPosition="0">
        <references count="7">
          <reference field="1" count="1" selected="0">
            <x v="53"/>
          </reference>
          <reference field="7" count="1" selected="0">
            <x v="4"/>
          </reference>
          <reference field="8" count="1" selected="0">
            <x v="42"/>
          </reference>
          <reference field="11" count="1" selected="0">
            <x v="97"/>
          </reference>
          <reference field="12" count="1" selected="0">
            <x v="1"/>
          </reference>
          <reference field="13" count="1">
            <x v="98"/>
          </reference>
          <reference field="14" count="1" selected="0">
            <x v="2"/>
          </reference>
        </references>
      </pivotArea>
    </format>
    <format dxfId="420">
      <pivotArea dataOnly="0" labelOnly="1" outline="0" fieldPosition="0">
        <references count="7">
          <reference field="1" count="1" selected="0">
            <x v="92"/>
          </reference>
          <reference field="7" count="1" selected="0">
            <x v="4"/>
          </reference>
          <reference field="8" count="1" selected="0">
            <x v="98"/>
          </reference>
          <reference field="11" count="1" selected="0">
            <x v="145"/>
          </reference>
          <reference field="12" count="1" selected="0">
            <x v="1"/>
          </reference>
          <reference field="13" count="1">
            <x v="214"/>
          </reference>
          <reference field="14" count="1" selected="0">
            <x v="2"/>
          </reference>
        </references>
      </pivotArea>
    </format>
    <format dxfId="419">
      <pivotArea dataOnly="0" labelOnly="1" outline="0" fieldPosition="0">
        <references count="7">
          <reference field="1" count="1" selected="0">
            <x v="157"/>
          </reference>
          <reference field="7" count="1" selected="0">
            <x v="4"/>
          </reference>
          <reference field="8" count="1" selected="0">
            <x v="151"/>
          </reference>
          <reference field="11" count="1" selected="0">
            <x v="143"/>
          </reference>
          <reference field="12" count="1" selected="0">
            <x v="1"/>
          </reference>
          <reference field="13" count="1">
            <x v="20"/>
          </reference>
          <reference field="14" count="1" selected="0">
            <x v="2"/>
          </reference>
        </references>
      </pivotArea>
    </format>
    <format dxfId="418">
      <pivotArea dataOnly="0" labelOnly="1" outline="0" fieldPosition="0">
        <references count="7">
          <reference field="1" count="1" selected="0">
            <x v="197"/>
          </reference>
          <reference field="7" count="1" selected="0">
            <x v="4"/>
          </reference>
          <reference field="8" count="1" selected="0">
            <x v="40"/>
          </reference>
          <reference field="11" count="1" selected="0">
            <x v="114"/>
          </reference>
          <reference field="12" count="1" selected="0">
            <x v="1"/>
          </reference>
          <reference field="13" count="1">
            <x v="17"/>
          </reference>
          <reference field="14" count="1" selected="0">
            <x v="0"/>
          </reference>
        </references>
      </pivotArea>
    </format>
    <format dxfId="417">
      <pivotArea dataOnly="0" labelOnly="1" outline="0" fieldPosition="0">
        <references count="7">
          <reference field="1" count="1" selected="0">
            <x v="199"/>
          </reference>
          <reference field="7" count="1" selected="0">
            <x v="4"/>
          </reference>
          <reference field="8" count="1" selected="0">
            <x v="158"/>
          </reference>
          <reference field="11" count="1" selected="0">
            <x v="120"/>
          </reference>
          <reference field="12" count="1" selected="0">
            <x v="1"/>
          </reference>
          <reference field="13" count="1">
            <x v="91"/>
          </reference>
          <reference field="14" count="1" selected="0">
            <x v="2"/>
          </reference>
        </references>
      </pivotArea>
    </format>
    <format dxfId="416">
      <pivotArea dataOnly="0" labelOnly="1" outline="0" fieldPosition="0">
        <references count="7">
          <reference field="1" count="1" selected="0">
            <x v="274"/>
          </reference>
          <reference field="7" count="1" selected="0">
            <x v="4"/>
          </reference>
          <reference field="8" count="1" selected="0">
            <x v="87"/>
          </reference>
          <reference field="11" count="1" selected="0">
            <x v="152"/>
          </reference>
          <reference field="12" count="1" selected="0">
            <x v="0"/>
          </reference>
          <reference field="13" count="1">
            <x v="215"/>
          </reference>
          <reference field="14" count="1" selected="0">
            <x v="2"/>
          </reference>
        </references>
      </pivotArea>
    </format>
    <format dxfId="415">
      <pivotArea dataOnly="0" labelOnly="1" outline="0" fieldPosition="0">
        <references count="7">
          <reference field="1" count="1" selected="0">
            <x v="275"/>
          </reference>
          <reference field="7" count="1" selected="0">
            <x v="4"/>
          </reference>
          <reference field="8" count="1" selected="0">
            <x v="96"/>
          </reference>
          <reference field="11" count="1" selected="0">
            <x v="133"/>
          </reference>
          <reference field="12" count="1" selected="0">
            <x v="1"/>
          </reference>
          <reference field="13" count="1">
            <x v="178"/>
          </reference>
          <reference field="14" count="1" selected="0">
            <x v="2"/>
          </reference>
        </references>
      </pivotArea>
    </format>
    <format dxfId="414">
      <pivotArea dataOnly="0" labelOnly="1" outline="0" fieldPosition="0">
        <references count="7">
          <reference field="1" count="1" selected="0">
            <x v="87"/>
          </reference>
          <reference field="7" count="1" selected="0">
            <x v="5"/>
          </reference>
          <reference field="8" count="1" selected="0">
            <x v="80"/>
          </reference>
          <reference field="11" count="1" selected="0">
            <x v="66"/>
          </reference>
          <reference field="12" count="1" selected="0">
            <x v="0"/>
          </reference>
          <reference field="13" count="1">
            <x v="200"/>
          </reference>
          <reference field="14" count="1" selected="0">
            <x v="2"/>
          </reference>
        </references>
      </pivotArea>
    </format>
    <format dxfId="413">
      <pivotArea dataOnly="0" labelOnly="1" outline="0" fieldPosition="0">
        <references count="7">
          <reference field="1" count="1" selected="0">
            <x v="103"/>
          </reference>
          <reference field="7" count="1" selected="0">
            <x v="5"/>
          </reference>
          <reference field="8" count="1" selected="0">
            <x v="11"/>
          </reference>
          <reference field="11" count="1" selected="0">
            <x v="69"/>
          </reference>
          <reference field="12" count="1" selected="0">
            <x v="1"/>
          </reference>
          <reference field="13" count="1">
            <x v="28"/>
          </reference>
          <reference field="14" count="1" selected="0">
            <x v="2"/>
          </reference>
        </references>
      </pivotArea>
    </format>
    <format dxfId="412">
      <pivotArea dataOnly="0" labelOnly="1" outline="0" fieldPosition="0">
        <references count="7">
          <reference field="1" count="1" selected="0">
            <x v="129"/>
          </reference>
          <reference field="7" count="1" selected="0">
            <x v="5"/>
          </reference>
          <reference field="8" count="1" selected="0">
            <x v="59"/>
          </reference>
          <reference field="11" count="1" selected="0">
            <x v="23"/>
          </reference>
          <reference field="12" count="1" selected="0">
            <x v="0"/>
          </reference>
          <reference field="13" count="1">
            <x v="100"/>
          </reference>
          <reference field="14" count="1" selected="0">
            <x v="2"/>
          </reference>
        </references>
      </pivotArea>
    </format>
    <format dxfId="411">
      <pivotArea dataOnly="0" labelOnly="1" outline="0" fieldPosition="0">
        <references count="7">
          <reference field="1" count="1" selected="0">
            <x v="130"/>
          </reference>
          <reference field="7" count="1" selected="0">
            <x v="5"/>
          </reference>
          <reference field="8" count="1" selected="0">
            <x v="149"/>
          </reference>
          <reference field="11" count="1" selected="0">
            <x v="23"/>
          </reference>
          <reference field="12" count="1" selected="0">
            <x v="0"/>
          </reference>
          <reference field="13" count="1">
            <x v="114"/>
          </reference>
          <reference field="14" count="1" selected="0">
            <x v="2"/>
          </reference>
        </references>
      </pivotArea>
    </format>
    <format dxfId="410">
      <pivotArea dataOnly="0" labelOnly="1" outline="0" fieldPosition="0">
        <references count="7">
          <reference field="1" count="1" selected="0">
            <x v="131"/>
          </reference>
          <reference field="7" count="1" selected="0">
            <x v="5"/>
          </reference>
          <reference field="8" count="1" selected="0">
            <x v="148"/>
          </reference>
          <reference field="11" count="1" selected="0">
            <x v="2"/>
          </reference>
          <reference field="12" count="1" selected="0">
            <x v="1"/>
          </reference>
          <reference field="13" count="1">
            <x v="254"/>
          </reference>
          <reference field="14" count="1" selected="0">
            <x v="2"/>
          </reference>
        </references>
      </pivotArea>
    </format>
    <format dxfId="409">
      <pivotArea dataOnly="0" labelOnly="1" outline="0" fieldPosition="0">
        <references count="7">
          <reference field="1" count="1" selected="0">
            <x v="132"/>
          </reference>
          <reference field="7" count="1" selected="0">
            <x v="5"/>
          </reference>
          <reference field="8" count="1" selected="0">
            <x v="90"/>
          </reference>
          <reference field="11" count="1" selected="0">
            <x v="4"/>
          </reference>
          <reference field="12" count="1" selected="0">
            <x v="1"/>
          </reference>
          <reference field="13" count="1">
            <x v="251"/>
          </reference>
          <reference field="14" count="1" selected="0">
            <x v="2"/>
          </reference>
        </references>
      </pivotArea>
    </format>
    <format dxfId="408">
      <pivotArea dataOnly="0" labelOnly="1" outline="0" fieldPosition="0">
        <references count="7">
          <reference field="1" count="1" selected="0">
            <x v="146"/>
          </reference>
          <reference field="7" count="1" selected="0">
            <x v="5"/>
          </reference>
          <reference field="8" count="1" selected="0">
            <x v="51"/>
          </reference>
          <reference field="11" count="1" selected="0">
            <x v="141"/>
          </reference>
          <reference field="12" count="1" selected="0">
            <x v="1"/>
          </reference>
          <reference field="13" count="1">
            <x v="206"/>
          </reference>
          <reference field="14" count="1" selected="0">
            <x v="2"/>
          </reference>
        </references>
      </pivotArea>
    </format>
    <format dxfId="407">
      <pivotArea dataOnly="0" labelOnly="1" outline="0" fieldPosition="0">
        <references count="7">
          <reference field="1" count="1" selected="0">
            <x v="147"/>
          </reference>
          <reference field="7" count="1" selected="0">
            <x v="5"/>
          </reference>
          <reference field="8" count="1" selected="0">
            <x v="33"/>
          </reference>
          <reference field="11" count="1" selected="0">
            <x v="117"/>
          </reference>
          <reference field="12" count="1" selected="0">
            <x v="1"/>
          </reference>
          <reference field="13" count="1">
            <x v="197"/>
          </reference>
          <reference field="14" count="1" selected="0">
            <x v="2"/>
          </reference>
        </references>
      </pivotArea>
    </format>
    <format dxfId="406">
      <pivotArea dataOnly="0" labelOnly="1" outline="0" fieldPosition="0">
        <references count="7">
          <reference field="1" count="1" selected="0">
            <x v="148"/>
          </reference>
          <reference field="7" count="1" selected="0">
            <x v="5"/>
          </reference>
          <reference field="8" count="1" selected="0">
            <x v="50"/>
          </reference>
          <reference field="11" count="1" selected="0">
            <x v="83"/>
          </reference>
          <reference field="12" count="1" selected="0">
            <x v="1"/>
          </reference>
          <reference field="13" count="1">
            <x v="205"/>
          </reference>
          <reference field="14" count="1" selected="0">
            <x v="2"/>
          </reference>
        </references>
      </pivotArea>
    </format>
    <format dxfId="405">
      <pivotArea dataOnly="0" labelOnly="1" outline="0" fieldPosition="0">
        <references count="7">
          <reference field="1" count="1" selected="0">
            <x v="159"/>
          </reference>
          <reference field="7" count="1" selected="0">
            <x v="5"/>
          </reference>
          <reference field="8" count="1" selected="0">
            <x v="158"/>
          </reference>
          <reference field="11" count="1" selected="0">
            <x v="4"/>
          </reference>
          <reference field="12" count="1" selected="0">
            <x v="0"/>
          </reference>
          <reference field="13" count="1">
            <x v="194"/>
          </reference>
          <reference field="14" count="1" selected="0">
            <x v="0"/>
          </reference>
        </references>
      </pivotArea>
    </format>
    <format dxfId="404">
      <pivotArea dataOnly="0" labelOnly="1" outline="0" fieldPosition="0">
        <references count="7">
          <reference field="1" count="1" selected="0">
            <x v="162"/>
          </reference>
          <reference field="7" count="1" selected="0">
            <x v="5"/>
          </reference>
          <reference field="8" count="1" selected="0">
            <x v="53"/>
          </reference>
          <reference field="11" count="1" selected="0">
            <x v="49"/>
          </reference>
          <reference field="12" count="1" selected="0">
            <x v="0"/>
          </reference>
          <reference field="13" count="1">
            <x v="30"/>
          </reference>
          <reference field="14" count="1" selected="0">
            <x v="2"/>
          </reference>
        </references>
      </pivotArea>
    </format>
    <format dxfId="403">
      <pivotArea dataOnly="0" labelOnly="1" outline="0" fieldPosition="0">
        <references count="7">
          <reference field="1" count="1" selected="0">
            <x v="175"/>
          </reference>
          <reference field="7" count="1" selected="0">
            <x v="5"/>
          </reference>
          <reference field="8" count="1" selected="0">
            <x v="61"/>
          </reference>
          <reference field="11" count="1" selected="0">
            <x v="155"/>
          </reference>
          <reference field="12" count="1" selected="0">
            <x v="1"/>
          </reference>
          <reference field="13" count="1">
            <x v="203"/>
          </reference>
          <reference field="14" count="1" selected="0">
            <x v="0"/>
          </reference>
        </references>
      </pivotArea>
    </format>
    <format dxfId="402">
      <pivotArea dataOnly="0" labelOnly="1" outline="0" fieldPosition="0">
        <references count="7">
          <reference field="1" count="1" selected="0">
            <x v="179"/>
          </reference>
          <reference field="7" count="1" selected="0">
            <x v="5"/>
          </reference>
          <reference field="8" count="1" selected="0">
            <x v="152"/>
          </reference>
          <reference field="11" count="1" selected="0">
            <x v="0"/>
          </reference>
          <reference field="12" count="1" selected="0">
            <x v="1"/>
          </reference>
          <reference field="13" count="1">
            <x v="90"/>
          </reference>
          <reference field="14" count="1" selected="0">
            <x v="2"/>
          </reference>
        </references>
      </pivotArea>
    </format>
    <format dxfId="401">
      <pivotArea dataOnly="0" labelOnly="1" outline="0" fieldPosition="0">
        <references count="7">
          <reference field="1" count="1" selected="0">
            <x v="186"/>
          </reference>
          <reference field="7" count="1" selected="0">
            <x v="5"/>
          </reference>
          <reference field="8" count="1" selected="0">
            <x v="22"/>
          </reference>
          <reference field="11" count="1" selected="0">
            <x v="31"/>
          </reference>
          <reference field="12" count="1" selected="0">
            <x v="0"/>
          </reference>
          <reference field="13" count="1">
            <x v="184"/>
          </reference>
          <reference field="14" count="1" selected="0">
            <x v="2"/>
          </reference>
        </references>
      </pivotArea>
    </format>
    <format dxfId="400">
      <pivotArea dataOnly="0" labelOnly="1" outline="0" fieldPosition="0">
        <references count="7">
          <reference field="1" count="1" selected="0">
            <x v="187"/>
          </reference>
          <reference field="7" count="1" selected="0">
            <x v="5"/>
          </reference>
          <reference field="8" count="1" selected="0">
            <x v="17"/>
          </reference>
          <reference field="11" count="1" selected="0">
            <x v="35"/>
          </reference>
          <reference field="12" count="1" selected="0">
            <x v="0"/>
          </reference>
          <reference field="13" count="1">
            <x v="218"/>
          </reference>
          <reference field="14" count="1" selected="0">
            <x v="2"/>
          </reference>
        </references>
      </pivotArea>
    </format>
    <format dxfId="399">
      <pivotArea dataOnly="0" labelOnly="1" outline="0" fieldPosition="0">
        <references count="7">
          <reference field="1" count="1" selected="0">
            <x v="190"/>
          </reference>
          <reference field="7" count="1" selected="0">
            <x v="5"/>
          </reference>
          <reference field="8" count="1" selected="0">
            <x v="141"/>
          </reference>
          <reference field="11" count="1" selected="0">
            <x v="68"/>
          </reference>
          <reference field="12" count="1" selected="0">
            <x v="0"/>
          </reference>
          <reference field="13" count="1">
            <x v="62"/>
          </reference>
          <reference field="14" count="1" selected="0">
            <x v="0"/>
          </reference>
        </references>
      </pivotArea>
    </format>
    <format dxfId="398">
      <pivotArea dataOnly="0" labelOnly="1" outline="0" fieldPosition="0">
        <references count="7">
          <reference field="1" count="1" selected="0">
            <x v="191"/>
          </reference>
          <reference field="7" count="1" selected="0">
            <x v="5"/>
          </reference>
          <reference field="8" count="1" selected="0">
            <x v="6"/>
          </reference>
          <reference field="11" count="1" selected="0">
            <x v="133"/>
          </reference>
          <reference field="12" count="1" selected="0">
            <x v="1"/>
          </reference>
          <reference field="13" count="1">
            <x v="180"/>
          </reference>
          <reference field="14" count="1" selected="0">
            <x v="2"/>
          </reference>
        </references>
      </pivotArea>
    </format>
    <format dxfId="397">
      <pivotArea dataOnly="0" labelOnly="1" outline="0" fieldPosition="0">
        <references count="7">
          <reference field="1" count="1" selected="0">
            <x v="192"/>
          </reference>
          <reference field="7" count="1" selected="0">
            <x v="5"/>
          </reference>
          <reference field="8" count="1" selected="0">
            <x v="138"/>
          </reference>
          <reference field="11" count="1" selected="0">
            <x v="70"/>
          </reference>
          <reference field="12" count="1" selected="0">
            <x v="1"/>
          </reference>
          <reference field="13" count="1">
            <x v="94"/>
          </reference>
          <reference field="14" count="1" selected="0">
            <x v="2"/>
          </reference>
        </references>
      </pivotArea>
    </format>
    <format dxfId="396">
      <pivotArea dataOnly="0" labelOnly="1" outline="0" fieldPosition="0">
        <references count="7">
          <reference field="1" count="1" selected="0">
            <x v="202"/>
          </reference>
          <reference field="7" count="1" selected="0">
            <x v="5"/>
          </reference>
          <reference field="8" count="1" selected="0">
            <x v="150"/>
          </reference>
          <reference field="11" count="1" selected="0">
            <x v="32"/>
          </reference>
          <reference field="12" count="1" selected="0">
            <x v="1"/>
          </reference>
          <reference field="13" count="1">
            <x v="253"/>
          </reference>
          <reference field="14" count="1" selected="0">
            <x v="2"/>
          </reference>
        </references>
      </pivotArea>
    </format>
    <format dxfId="395">
      <pivotArea dataOnly="0" labelOnly="1" outline="0" fieldPosition="0">
        <references count="7">
          <reference field="1" count="1" selected="0">
            <x v="208"/>
          </reference>
          <reference field="7" count="1" selected="0">
            <x v="5"/>
          </reference>
          <reference field="8" count="1" selected="0">
            <x v="52"/>
          </reference>
          <reference field="11" count="1" selected="0">
            <x v="9"/>
          </reference>
          <reference field="12" count="1" selected="0">
            <x v="1"/>
          </reference>
          <reference field="13" count="1">
            <x v="202"/>
          </reference>
          <reference field="14" count="1" selected="0">
            <x v="2"/>
          </reference>
        </references>
      </pivotArea>
    </format>
    <format dxfId="394">
      <pivotArea dataOnly="0" labelOnly="1" outline="0" fieldPosition="0">
        <references count="7">
          <reference field="1" count="1" selected="0">
            <x v="216"/>
          </reference>
          <reference field="7" count="1" selected="0">
            <x v="5"/>
          </reference>
          <reference field="8" count="1" selected="0">
            <x v="70"/>
          </reference>
          <reference field="11" count="1" selected="0">
            <x v="67"/>
          </reference>
          <reference field="12" count="1" selected="0">
            <x v="0"/>
          </reference>
          <reference field="13" count="1">
            <x v="86"/>
          </reference>
          <reference field="14" count="1" selected="0">
            <x v="0"/>
          </reference>
        </references>
      </pivotArea>
    </format>
    <format dxfId="393">
      <pivotArea dataOnly="0" labelOnly="1" outline="0" fieldPosition="0">
        <references count="7">
          <reference field="1" count="1" selected="0">
            <x v="217"/>
          </reference>
          <reference field="7" count="1" selected="0">
            <x v="5"/>
          </reference>
          <reference field="8" count="1" selected="0">
            <x v="48"/>
          </reference>
          <reference field="11" count="1" selected="0">
            <x v="81"/>
          </reference>
          <reference field="12" count="1" selected="0">
            <x v="1"/>
          </reference>
          <reference field="13" count="1">
            <x v="82"/>
          </reference>
          <reference field="14" count="1" selected="0">
            <x v="2"/>
          </reference>
        </references>
      </pivotArea>
    </format>
    <format dxfId="392">
      <pivotArea dataOnly="0" labelOnly="1" outline="0" fieldPosition="0">
        <references count="7">
          <reference field="1" count="1" selected="0">
            <x v="218"/>
          </reference>
          <reference field="7" count="1" selected="0">
            <x v="5"/>
          </reference>
          <reference field="8" count="1" selected="0">
            <x v="108"/>
          </reference>
          <reference field="11" count="1" selected="0">
            <x v="30"/>
          </reference>
          <reference field="12" count="1" selected="0">
            <x v="1"/>
          </reference>
          <reference field="13" count="1">
            <x v="18"/>
          </reference>
          <reference field="14" count="1" selected="0">
            <x v="2"/>
          </reference>
        </references>
      </pivotArea>
    </format>
    <format dxfId="391">
      <pivotArea dataOnly="0" labelOnly="1" outline="0" fieldPosition="0">
        <references count="7">
          <reference field="1" count="1" selected="0">
            <x v="218"/>
          </reference>
          <reference field="7" count="1" selected="0">
            <x v="5"/>
          </reference>
          <reference field="8" count="1" selected="0">
            <x v="145"/>
          </reference>
          <reference field="11" count="1" selected="0">
            <x v="20"/>
          </reference>
          <reference field="12" count="1" selected="0">
            <x v="1"/>
          </reference>
          <reference field="13" count="1">
            <x v="84"/>
          </reference>
          <reference field="14" count="1" selected="0">
            <x v="0"/>
          </reference>
        </references>
      </pivotArea>
    </format>
    <format dxfId="390">
      <pivotArea dataOnly="0" labelOnly="1" outline="0" fieldPosition="0">
        <references count="7">
          <reference field="1" count="1" selected="0">
            <x v="219"/>
          </reference>
          <reference field="7" count="1" selected="0">
            <x v="5"/>
          </reference>
          <reference field="8" count="1" selected="0">
            <x v="146"/>
          </reference>
          <reference field="11" count="1" selected="0">
            <x v="67"/>
          </reference>
          <reference field="12" count="1" selected="0">
            <x v="0"/>
          </reference>
          <reference field="13" count="1">
            <x v="85"/>
          </reference>
          <reference field="14" count="1" selected="0">
            <x v="0"/>
          </reference>
        </references>
      </pivotArea>
    </format>
    <format dxfId="389">
      <pivotArea dataOnly="0" labelOnly="1" outline="0" fieldPosition="0">
        <references count="7">
          <reference field="1" count="1" selected="0">
            <x v="220"/>
          </reference>
          <reference field="7" count="1" selected="0">
            <x v="5"/>
          </reference>
          <reference field="8" count="1" selected="0">
            <x v="158"/>
          </reference>
          <reference field="11" count="1" selected="0">
            <x v="5"/>
          </reference>
          <reference field="12" count="1" selected="0">
            <x v="0"/>
          </reference>
          <reference field="13" count="1">
            <x v="5"/>
          </reference>
          <reference field="14" count="1" selected="0">
            <x v="1"/>
          </reference>
        </references>
      </pivotArea>
    </format>
    <format dxfId="388">
      <pivotArea dataOnly="0" labelOnly="1" outline="0" fieldPosition="0">
        <references count="7">
          <reference field="1" count="1" selected="0">
            <x v="224"/>
          </reference>
          <reference field="7" count="1" selected="0">
            <x v="5"/>
          </reference>
          <reference field="8" count="1" selected="0">
            <x v="34"/>
          </reference>
          <reference field="11" count="1" selected="0">
            <x v="3"/>
          </reference>
          <reference field="12" count="1" selected="0">
            <x v="1"/>
          </reference>
          <reference field="13" count="1">
            <x v="230"/>
          </reference>
          <reference field="14" count="1" selected="0">
            <x v="2"/>
          </reference>
        </references>
      </pivotArea>
    </format>
    <format dxfId="387">
      <pivotArea dataOnly="0" labelOnly="1" outline="0" fieldPosition="0">
        <references count="7">
          <reference field="1" count="1" selected="0">
            <x v="227"/>
          </reference>
          <reference field="7" count="1" selected="0">
            <x v="5"/>
          </reference>
          <reference field="8" count="1" selected="0">
            <x v="158"/>
          </reference>
          <reference field="11" count="1" selected="0">
            <x v="4"/>
          </reference>
          <reference field="12" count="1" selected="0">
            <x v="0"/>
          </reference>
          <reference field="13" count="1">
            <x v="193"/>
          </reference>
          <reference field="14" count="1" selected="0">
            <x v="0"/>
          </reference>
        </references>
      </pivotArea>
    </format>
    <format dxfId="386">
      <pivotArea dataOnly="0" labelOnly="1" outline="0" fieldPosition="0">
        <references count="7">
          <reference field="1" count="1" selected="0">
            <x v="231"/>
          </reference>
          <reference field="7" count="1" selected="0">
            <x v="5"/>
          </reference>
          <reference field="8" count="1" selected="0">
            <x v="65"/>
          </reference>
          <reference field="11" count="1" selected="0">
            <x v="140"/>
          </reference>
          <reference field="12" count="1" selected="0">
            <x v="0"/>
          </reference>
          <reference field="13" count="1">
            <x v="54"/>
          </reference>
          <reference field="14" count="1" selected="0">
            <x v="2"/>
          </reference>
        </references>
      </pivotArea>
    </format>
    <format dxfId="385">
      <pivotArea dataOnly="0" labelOnly="1" outline="0" fieldPosition="0">
        <references count="7">
          <reference field="1" count="1" selected="0">
            <x v="232"/>
          </reference>
          <reference field="7" count="1" selected="0">
            <x v="5"/>
          </reference>
          <reference field="8" count="1" selected="0">
            <x v="72"/>
          </reference>
          <reference field="11" count="1" selected="0">
            <x v="38"/>
          </reference>
          <reference field="12" count="1" selected="0">
            <x v="1"/>
          </reference>
          <reference field="13" count="1">
            <x v="73"/>
          </reference>
          <reference field="14" count="1" selected="0">
            <x v="2"/>
          </reference>
        </references>
      </pivotArea>
    </format>
    <format dxfId="384">
      <pivotArea dataOnly="0" labelOnly="1" outline="0" fieldPosition="0">
        <references count="7">
          <reference field="1" count="1" selected="0">
            <x v="235"/>
          </reference>
          <reference field="7" count="1" selected="0">
            <x v="5"/>
          </reference>
          <reference field="8" count="1" selected="0">
            <x v="85"/>
          </reference>
          <reference field="11" count="1" selected="0">
            <x v="53"/>
          </reference>
          <reference field="12" count="1" selected="0">
            <x v="0"/>
          </reference>
          <reference field="13" count="1">
            <x v="183"/>
          </reference>
          <reference field="14" count="1" selected="0">
            <x v="0"/>
          </reference>
        </references>
      </pivotArea>
    </format>
    <format dxfId="383">
      <pivotArea dataOnly="0" labelOnly="1" outline="0" fieldPosition="0">
        <references count="7">
          <reference field="1" count="1" selected="0">
            <x v="236"/>
          </reference>
          <reference field="7" count="1" selected="0">
            <x v="5"/>
          </reference>
          <reference field="8" count="1" selected="0">
            <x v="142"/>
          </reference>
          <reference field="11" count="1" selected="0">
            <x v="37"/>
          </reference>
          <reference field="12" count="1" selected="0">
            <x v="1"/>
          </reference>
          <reference field="13" count="1">
            <x v="92"/>
          </reference>
          <reference field="14" count="1" selected="0">
            <x v="2"/>
          </reference>
        </references>
      </pivotArea>
    </format>
    <format dxfId="382">
      <pivotArea dataOnly="0" labelOnly="1" outline="0" fieldPosition="0">
        <references count="7">
          <reference field="1" count="1" selected="0">
            <x v="245"/>
          </reference>
          <reference field="7" count="1" selected="0">
            <x v="5"/>
          </reference>
          <reference field="8" count="1" selected="0">
            <x v="102"/>
          </reference>
          <reference field="11" count="1" selected="0">
            <x v="99"/>
          </reference>
          <reference field="12" count="1" selected="0">
            <x v="1"/>
          </reference>
          <reference field="13" count="1">
            <x v="95"/>
          </reference>
          <reference field="14" count="1" selected="0">
            <x v="2"/>
          </reference>
        </references>
      </pivotArea>
    </format>
    <format dxfId="381">
      <pivotArea dataOnly="0" labelOnly="1" outline="0" fieldPosition="0">
        <references count="7">
          <reference field="1" count="1" selected="0">
            <x v="249"/>
          </reference>
          <reference field="7" count="1" selected="0">
            <x v="5"/>
          </reference>
          <reference field="8" count="1" selected="0">
            <x v="158"/>
          </reference>
          <reference field="11" count="1" selected="0">
            <x v="26"/>
          </reference>
          <reference field="12" count="1" selected="0">
            <x v="1"/>
          </reference>
          <reference field="13" count="1">
            <x v="186"/>
          </reference>
          <reference field="14" count="1" selected="0">
            <x v="2"/>
          </reference>
        </references>
      </pivotArea>
    </format>
    <format dxfId="380">
      <pivotArea dataOnly="0" labelOnly="1" outline="0" fieldPosition="0">
        <references count="7">
          <reference field="1" count="1" selected="0">
            <x v="253"/>
          </reference>
          <reference field="7" count="1" selected="0">
            <x v="5"/>
          </reference>
          <reference field="8" count="1" selected="0">
            <x v="56"/>
          </reference>
          <reference field="11" count="1" selected="0">
            <x v="51"/>
          </reference>
          <reference field="12" count="1" selected="0">
            <x v="1"/>
          </reference>
          <reference field="13" count="1">
            <x v="243"/>
          </reference>
          <reference field="14" count="1" selected="0">
            <x v="2"/>
          </reference>
        </references>
      </pivotArea>
    </format>
    <format dxfId="379">
      <pivotArea dataOnly="0" labelOnly="1" outline="0" fieldPosition="0">
        <references count="7">
          <reference field="1" count="1" selected="0">
            <x v="254"/>
          </reference>
          <reference field="7" count="1" selected="0">
            <x v="5"/>
          </reference>
          <reference field="8" count="1" selected="0">
            <x v="75"/>
          </reference>
          <reference field="11" count="1" selected="0">
            <x v="48"/>
          </reference>
          <reference field="12" count="1" selected="0">
            <x v="1"/>
          </reference>
          <reference field="13" count="1">
            <x v="43"/>
          </reference>
          <reference field="14" count="1" selected="0">
            <x v="2"/>
          </reference>
        </references>
      </pivotArea>
    </format>
    <format dxfId="378">
      <pivotArea dataOnly="0" labelOnly="1" outline="0" fieldPosition="0">
        <references count="7">
          <reference field="1" count="1" selected="0">
            <x v="255"/>
          </reference>
          <reference field="7" count="1" selected="0">
            <x v="5"/>
          </reference>
          <reference field="8" count="1" selected="0">
            <x v="105"/>
          </reference>
          <reference field="11" count="1" selected="0">
            <x v="21"/>
          </reference>
          <reference field="12" count="1" selected="0">
            <x v="1"/>
          </reference>
          <reference field="13" count="1">
            <x v="13"/>
          </reference>
          <reference field="14" count="1" selected="0">
            <x v="2"/>
          </reference>
        </references>
      </pivotArea>
    </format>
    <format dxfId="377">
      <pivotArea dataOnly="0" labelOnly="1" outline="0" fieldPosition="0">
        <references count="7">
          <reference field="1" count="1" selected="0">
            <x v="256"/>
          </reference>
          <reference field="7" count="1" selected="0">
            <x v="5"/>
          </reference>
          <reference field="8" count="1" selected="0">
            <x v="106"/>
          </reference>
          <reference field="11" count="1" selected="0">
            <x v="111"/>
          </reference>
          <reference field="12" count="1" selected="0">
            <x v="0"/>
          </reference>
          <reference field="13" count="1">
            <x v="83"/>
          </reference>
          <reference field="14" count="1" selected="0">
            <x v="2"/>
          </reference>
        </references>
      </pivotArea>
    </format>
    <format dxfId="376">
      <pivotArea dataOnly="0" labelOnly="1" outline="0" fieldPosition="0">
        <references count="7">
          <reference field="1" count="1" selected="0">
            <x v="263"/>
          </reference>
          <reference field="7" count="1" selected="0">
            <x v="5"/>
          </reference>
          <reference field="8" count="1" selected="0">
            <x v="158"/>
          </reference>
          <reference field="11" count="1" selected="0">
            <x v="153"/>
          </reference>
          <reference field="12" count="1" selected="0">
            <x v="1"/>
          </reference>
          <reference field="13" count="1">
            <x v="207"/>
          </reference>
          <reference field="14" count="1" selected="0">
            <x v="2"/>
          </reference>
        </references>
      </pivotArea>
    </format>
    <format dxfId="375">
      <pivotArea dataOnly="0" labelOnly="1" outline="0" fieldPosition="0">
        <references count="7">
          <reference field="1" count="1" selected="0">
            <x v="31"/>
          </reference>
          <reference field="7" count="1" selected="0">
            <x v="6"/>
          </reference>
          <reference field="8" count="1" selected="0">
            <x v="0"/>
          </reference>
          <reference field="11" count="1" selected="0">
            <x v="25"/>
          </reference>
          <reference field="12" count="1" selected="0">
            <x v="0"/>
          </reference>
          <reference field="13" count="1">
            <x v="268"/>
          </reference>
          <reference field="14" count="1" selected="0">
            <x v="2"/>
          </reference>
        </references>
      </pivotArea>
    </format>
    <format dxfId="374">
      <pivotArea dataOnly="0" labelOnly="1" outline="0" fieldPosition="0">
        <references count="7">
          <reference field="1" count="1" selected="0">
            <x v="32"/>
          </reference>
          <reference field="7" count="1" selected="0">
            <x v="6"/>
          </reference>
          <reference field="8" count="1" selected="0">
            <x v="49"/>
          </reference>
          <reference field="11" count="1" selected="0">
            <x v="34"/>
          </reference>
          <reference field="12" count="1" selected="0">
            <x v="0"/>
          </reference>
          <reference field="13" count="1">
            <x v="1"/>
          </reference>
          <reference field="14" count="1" selected="0">
            <x v="2"/>
          </reference>
        </references>
      </pivotArea>
    </format>
    <format dxfId="373">
      <pivotArea dataOnly="0" labelOnly="1" outline="0" fieldPosition="0">
        <references count="7">
          <reference field="1" count="1" selected="0">
            <x v="33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34"/>
          </reference>
          <reference field="12" count="1" selected="0">
            <x v="0"/>
          </reference>
          <reference field="13" count="1">
            <x v="221"/>
          </reference>
          <reference field="14" count="1" selected="0">
            <x v="2"/>
          </reference>
        </references>
      </pivotArea>
    </format>
    <format dxfId="372">
      <pivotArea dataOnly="0" labelOnly="1" outline="0" fieldPosition="0">
        <references count="7">
          <reference field="1" count="1" selected="0">
            <x v="34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17"/>
          </reference>
          <reference field="12" count="1" selected="0">
            <x v="0"/>
          </reference>
          <reference field="13" count="1">
            <x v="238"/>
          </reference>
          <reference field="14" count="1" selected="0">
            <x v="2"/>
          </reference>
        </references>
      </pivotArea>
    </format>
    <format dxfId="371">
      <pivotArea dataOnly="0" labelOnly="1" outline="0" fieldPosition="0">
        <references count="7">
          <reference field="1" count="1" selected="0">
            <x v="35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34"/>
          </reference>
          <reference field="12" count="1" selected="0">
            <x v="0"/>
          </reference>
          <reference field="13" count="1">
            <x v="219"/>
          </reference>
          <reference field="14" count="1" selected="0">
            <x v="2"/>
          </reference>
        </references>
      </pivotArea>
    </format>
    <format dxfId="370">
      <pivotArea dataOnly="0" labelOnly="1" outline="0" fieldPosition="0">
        <references count="7">
          <reference field="1" count="1" selected="0">
            <x v="36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12"/>
          </reference>
          <reference field="12" count="1" selected="0">
            <x v="0"/>
          </reference>
          <reference field="13" count="1">
            <x v="196"/>
          </reference>
          <reference field="14" count="1" selected="0">
            <x v="2"/>
          </reference>
        </references>
      </pivotArea>
    </format>
    <format dxfId="369">
      <pivotArea dataOnly="0" labelOnly="1" outline="0" fieldPosition="0">
        <references count="7">
          <reference field="1" count="1" selected="0">
            <x v="37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34"/>
          </reference>
          <reference field="12" count="1" selected="0">
            <x v="0"/>
          </reference>
          <reference field="13" count="1">
            <x v="220"/>
          </reference>
          <reference field="14" count="1" selected="0">
            <x v="2"/>
          </reference>
        </references>
      </pivotArea>
    </format>
    <format dxfId="368">
      <pivotArea dataOnly="0" labelOnly="1" outline="0" fieldPosition="0">
        <references count="7">
          <reference field="1" count="1" selected="0">
            <x v="38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12"/>
          </reference>
          <reference field="12" count="1" selected="0">
            <x v="0"/>
          </reference>
          <reference field="13" count="1">
            <x v="236"/>
          </reference>
          <reference field="14" count="1" selected="0">
            <x v="2"/>
          </reference>
        </references>
      </pivotArea>
    </format>
    <format dxfId="367">
      <pivotArea dataOnly="0" labelOnly="1" outline="0" fieldPosition="0">
        <references count="7">
          <reference field="1" count="1" selected="0">
            <x v="49"/>
          </reference>
          <reference field="7" count="1" selected="0">
            <x v="6"/>
          </reference>
          <reference field="8" count="1" selected="0">
            <x v="91"/>
          </reference>
          <reference field="11" count="1" selected="0">
            <x v="74"/>
          </reference>
          <reference field="12" count="1" selected="0">
            <x v="1"/>
          </reference>
          <reference field="13" count="1">
            <x v="240"/>
          </reference>
          <reference field="14" count="1" selected="0">
            <x v="2"/>
          </reference>
        </references>
      </pivotArea>
    </format>
    <format dxfId="366">
      <pivotArea dataOnly="0" labelOnly="1" outline="0" fieldPosition="0">
        <references count="7">
          <reference field="1" count="1" selected="0">
            <x v="83"/>
          </reference>
          <reference field="7" count="1" selected="0">
            <x v="6"/>
          </reference>
          <reference field="8" count="1" selected="0">
            <x v="3"/>
          </reference>
          <reference field="11" count="1" selected="0">
            <x v="23"/>
          </reference>
          <reference field="12" count="1" selected="0">
            <x v="0"/>
          </reference>
          <reference field="13" count="1">
            <x v="189"/>
          </reference>
          <reference field="14" count="1" selected="0">
            <x v="2"/>
          </reference>
        </references>
      </pivotArea>
    </format>
    <format dxfId="365">
      <pivotArea dataOnly="0" labelOnly="1" outline="0" fieldPosition="0">
        <references count="7">
          <reference field="1" count="1" selected="0">
            <x v="101"/>
          </reference>
          <reference field="7" count="1" selected="0">
            <x v="6"/>
          </reference>
          <reference field="8" count="1" selected="0">
            <x v="54"/>
          </reference>
          <reference field="11" count="1" selected="0">
            <x v="115"/>
          </reference>
          <reference field="12" count="1" selected="0">
            <x v="1"/>
          </reference>
          <reference field="13" count="1">
            <x v="226"/>
          </reference>
          <reference field="14" count="1" selected="0">
            <x v="2"/>
          </reference>
        </references>
      </pivotArea>
    </format>
    <format dxfId="364">
      <pivotArea dataOnly="0" labelOnly="1" outline="0" fieldPosition="0">
        <references count="7">
          <reference field="1" count="1" selected="0">
            <x v="102"/>
          </reference>
          <reference field="7" count="1" selected="0">
            <x v="6"/>
          </reference>
          <reference field="8" count="1" selected="0">
            <x v="67"/>
          </reference>
          <reference field="11" count="1" selected="0">
            <x v="80"/>
          </reference>
          <reference field="12" count="1" selected="0">
            <x v="1"/>
          </reference>
          <reference field="13" count="1">
            <x v="217"/>
          </reference>
          <reference field="14" count="1" selected="0">
            <x v="2"/>
          </reference>
        </references>
      </pivotArea>
    </format>
    <format dxfId="363">
      <pivotArea dataOnly="0" labelOnly="1" outline="0" fieldPosition="0">
        <references count="7">
          <reference field="1" count="1" selected="0">
            <x v="119"/>
          </reference>
          <reference field="7" count="1" selected="0">
            <x v="6"/>
          </reference>
          <reference field="8" count="1" selected="0">
            <x v="99"/>
          </reference>
          <reference field="11" count="1" selected="0">
            <x v="33"/>
          </reference>
          <reference field="12" count="1" selected="0">
            <x v="1"/>
          </reference>
          <reference field="13" count="1">
            <x v="239"/>
          </reference>
          <reference field="14" count="1" selected="0">
            <x v="2"/>
          </reference>
        </references>
      </pivotArea>
    </format>
    <format dxfId="362">
      <pivotArea dataOnly="0" labelOnly="1" outline="0" fieldPosition="0">
        <references count="7">
          <reference field="1" count="1" selected="0">
            <x v="120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68"/>
          </reference>
          <reference field="12" count="1" selected="0">
            <x v="0"/>
          </reference>
          <reference field="13" count="1">
            <x v="273"/>
          </reference>
          <reference field="14" count="1" selected="0">
            <x v="2"/>
          </reference>
        </references>
      </pivotArea>
    </format>
    <format dxfId="361">
      <pivotArea dataOnly="0" labelOnly="1" outline="0" fieldPosition="0">
        <references count="7">
          <reference field="1" count="1" selected="0">
            <x v="123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68"/>
          </reference>
          <reference field="12" count="1" selected="0">
            <x v="0"/>
          </reference>
          <reference field="13" count="1">
            <x v="274"/>
          </reference>
          <reference field="14" count="1" selected="0">
            <x v="2"/>
          </reference>
        </references>
      </pivotArea>
    </format>
    <format dxfId="360">
      <pivotArea dataOnly="0" labelOnly="1" outline="0" fieldPosition="0">
        <references count="7">
          <reference field="1" count="1" selected="0">
            <x v="134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64"/>
          </reference>
          <reference field="12" count="1" selected="0">
            <x v="0"/>
          </reference>
          <reference field="13" count="1">
            <x v="271"/>
          </reference>
          <reference field="14" count="1" selected="0">
            <x v="2"/>
          </reference>
        </references>
      </pivotArea>
    </format>
    <format dxfId="359">
      <pivotArea dataOnly="0" labelOnly="1" outline="0" fieldPosition="0">
        <references count="7">
          <reference field="1" count="1" selected="0">
            <x v="135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45"/>
          </reference>
          <reference field="12" count="1" selected="0">
            <x v="0"/>
          </reference>
          <reference field="13" count="1">
            <x v="272"/>
          </reference>
          <reference field="14" count="1" selected="0">
            <x v="2"/>
          </reference>
        </references>
      </pivotArea>
    </format>
    <format dxfId="358">
      <pivotArea dataOnly="0" labelOnly="1" outline="0" fieldPosition="0">
        <references count="7">
          <reference field="1" count="1" selected="0">
            <x v="136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8"/>
          </reference>
          <reference field="12" count="1" selected="0">
            <x v="0"/>
          </reference>
          <reference field="13" count="1">
            <x v="260"/>
          </reference>
          <reference field="14" count="1" selected="0">
            <x v="2"/>
          </reference>
        </references>
      </pivotArea>
    </format>
    <format dxfId="357">
      <pivotArea dataOnly="0" labelOnly="1" outline="0" fieldPosition="0">
        <references count="7">
          <reference field="1" count="1" selected="0">
            <x v="137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8"/>
          </reference>
          <reference field="12" count="1" selected="0">
            <x v="0"/>
          </reference>
          <reference field="13" count="1">
            <x v="263"/>
          </reference>
          <reference field="14" count="1" selected="0">
            <x v="2"/>
          </reference>
        </references>
      </pivotArea>
    </format>
    <format dxfId="356">
      <pivotArea dataOnly="0" labelOnly="1" outline="0" fieldPosition="0">
        <references count="7">
          <reference field="1" count="1" selected="0">
            <x v="138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8"/>
          </reference>
          <reference field="12" count="1" selected="0">
            <x v="0"/>
          </reference>
          <reference field="13" count="1">
            <x v="255"/>
          </reference>
          <reference field="14" count="1" selected="0">
            <x v="2"/>
          </reference>
        </references>
      </pivotArea>
    </format>
    <format dxfId="355">
      <pivotArea dataOnly="0" labelOnly="1" outline="0" fieldPosition="0">
        <references count="7">
          <reference field="1" count="1" selected="0">
            <x v="139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8"/>
          </reference>
          <reference field="12" count="1" selected="0">
            <x v="0"/>
          </reference>
          <reference field="13" count="1">
            <x v="256"/>
          </reference>
          <reference field="14" count="1" selected="0">
            <x v="2"/>
          </reference>
        </references>
      </pivotArea>
    </format>
    <format dxfId="354">
      <pivotArea dataOnly="0" labelOnly="1" outline="0" fieldPosition="0">
        <references count="7">
          <reference field="1" count="1" selected="0">
            <x v="140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8"/>
          </reference>
          <reference field="12" count="1" selected="0">
            <x v="0"/>
          </reference>
          <reference field="13" count="1">
            <x v="258"/>
          </reference>
          <reference field="14" count="1" selected="0">
            <x v="2"/>
          </reference>
        </references>
      </pivotArea>
    </format>
    <format dxfId="353">
      <pivotArea dataOnly="0" labelOnly="1" outline="0" fieldPosition="0">
        <references count="7">
          <reference field="1" count="1" selected="0">
            <x v="141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8"/>
          </reference>
          <reference field="12" count="1" selected="0">
            <x v="0"/>
          </reference>
          <reference field="13" count="1">
            <x v="259"/>
          </reference>
          <reference field="14" count="1" selected="0">
            <x v="2"/>
          </reference>
        </references>
      </pivotArea>
    </format>
    <format dxfId="352">
      <pivotArea dataOnly="0" labelOnly="1" outline="0" fieldPosition="0">
        <references count="7">
          <reference field="1" count="1" selected="0">
            <x v="142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8"/>
          </reference>
          <reference field="12" count="1" selected="0">
            <x v="0"/>
          </reference>
          <reference field="13" count="1">
            <x v="261"/>
          </reference>
          <reference field="14" count="1" selected="0">
            <x v="2"/>
          </reference>
        </references>
      </pivotArea>
    </format>
    <format dxfId="351">
      <pivotArea dataOnly="0" labelOnly="1" outline="0" fieldPosition="0">
        <references count="7">
          <reference field="1" count="1" selected="0">
            <x v="143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8"/>
          </reference>
          <reference field="12" count="1" selected="0">
            <x v="0"/>
          </reference>
          <reference field="13" count="1">
            <x v="262"/>
          </reference>
          <reference field="14" count="1" selected="0">
            <x v="2"/>
          </reference>
        </references>
      </pivotArea>
    </format>
    <format dxfId="350">
      <pivotArea dataOnly="0" labelOnly="1" outline="0" fieldPosition="0">
        <references count="7">
          <reference field="1" count="1" selected="0">
            <x v="144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266"/>
          </reference>
          <reference field="14" count="1" selected="0">
            <x v="2"/>
          </reference>
        </references>
      </pivotArea>
    </format>
    <format dxfId="349">
      <pivotArea dataOnly="0" labelOnly="1" outline="0" fieldPosition="0">
        <references count="7">
          <reference field="1" count="1" selected="0">
            <x v="145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41"/>
          </reference>
          <reference field="12" count="1" selected="0">
            <x v="0"/>
          </reference>
          <reference field="13" count="1">
            <x v="267"/>
          </reference>
          <reference field="14" count="1" selected="0">
            <x v="2"/>
          </reference>
        </references>
      </pivotArea>
    </format>
    <format dxfId="348">
      <pivotArea dataOnly="0" labelOnly="1" outline="0" fieldPosition="0">
        <references count="7">
          <reference field="1" count="1" selected="0">
            <x v="150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43"/>
          </reference>
          <reference field="12" count="1" selected="0">
            <x v="0"/>
          </reference>
          <reference field="13" count="1">
            <x v="264"/>
          </reference>
          <reference field="14" count="1" selected="0">
            <x v="2"/>
          </reference>
        </references>
      </pivotArea>
    </format>
    <format dxfId="347">
      <pivotArea dataOnly="0" labelOnly="1" outline="0" fieldPosition="0">
        <references count="7">
          <reference field="1" count="1" selected="0">
            <x v="151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13"/>
          </reference>
          <reference field="12" count="1" selected="0">
            <x v="0"/>
          </reference>
          <reference field="13" count="1">
            <x v="265"/>
          </reference>
          <reference field="14" count="1" selected="0">
            <x v="2"/>
          </reference>
        </references>
      </pivotArea>
    </format>
    <format dxfId="346">
      <pivotArea dataOnly="0" labelOnly="1" outline="0" fieldPosition="0">
        <references count="7">
          <reference field="1" count="1" selected="0">
            <x v="176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45"/>
          </reference>
          <reference field="12" count="1" selected="0">
            <x v="0"/>
          </reference>
          <reference field="13" count="1">
            <x v="269"/>
          </reference>
          <reference field="14" count="1" selected="0">
            <x v="2"/>
          </reference>
        </references>
      </pivotArea>
    </format>
    <format dxfId="345">
      <pivotArea dataOnly="0" labelOnly="1" outline="0" fieldPosition="0">
        <references count="7">
          <reference field="1" count="1" selected="0">
            <x v="177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65"/>
          </reference>
          <reference field="12" count="1" selected="0">
            <x v="0"/>
          </reference>
          <reference field="13" count="1">
            <x v="270"/>
          </reference>
          <reference field="14" count="1" selected="0">
            <x v="2"/>
          </reference>
        </references>
      </pivotArea>
    </format>
    <format dxfId="344">
      <pivotArea dataOnly="0" labelOnly="1" outline="0" fieldPosition="0">
        <references count="7">
          <reference field="1" count="1" selected="0">
            <x v="178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0"/>
          </reference>
          <reference field="12" count="1" selected="0">
            <x v="0"/>
          </reference>
          <reference field="13" count="1">
            <x v="275"/>
          </reference>
          <reference field="14" count="1" selected="0">
            <x v="1"/>
          </reference>
        </references>
      </pivotArea>
    </format>
    <format dxfId="343">
      <pivotArea dataOnly="0" labelOnly="1" outline="0" fieldPosition="0">
        <references count="7">
          <reference field="1" count="1" selected="0">
            <x v="180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19"/>
          </reference>
          <reference field="12" count="1" selected="0">
            <x v="0"/>
          </reference>
          <reference field="13" count="1">
            <x v="234"/>
          </reference>
          <reference field="14" count="1" selected="0">
            <x v="2"/>
          </reference>
        </references>
      </pivotArea>
    </format>
    <format dxfId="342">
      <pivotArea dataOnly="0" labelOnly="1" outline="0" fieldPosition="0">
        <references count="7">
          <reference field="1" count="1" selected="0">
            <x v="181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23"/>
          </reference>
          <reference field="12" count="1" selected="0">
            <x v="0"/>
          </reference>
          <reference field="13" count="1">
            <x v="233"/>
          </reference>
          <reference field="14" count="1" selected="0">
            <x v="2"/>
          </reference>
        </references>
      </pivotArea>
    </format>
    <format dxfId="341">
      <pivotArea dataOnly="0" labelOnly="1" outline="0" fieldPosition="0">
        <references count="7">
          <reference field="1" count="1" selected="0">
            <x v="182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23"/>
          </reference>
          <reference field="12" count="1" selected="0">
            <x v="0"/>
          </reference>
          <reference field="13" count="1">
            <x v="235"/>
          </reference>
          <reference field="14" count="1" selected="0">
            <x v="2"/>
          </reference>
        </references>
      </pivotArea>
    </format>
    <format dxfId="340">
      <pivotArea dataOnly="0" labelOnly="1" outline="0" fieldPosition="0">
        <references count="7">
          <reference field="1" count="1" selected="0">
            <x v="209"/>
          </reference>
          <reference field="7" count="1" selected="0">
            <x v="6"/>
          </reference>
          <reference field="8" count="1" selected="0">
            <x v="68"/>
          </reference>
          <reference field="11" count="1" selected="0">
            <x v="74"/>
          </reference>
          <reference field="12" count="1" selected="0">
            <x v="0"/>
          </reference>
          <reference field="13" count="1">
            <x v="22"/>
          </reference>
          <reference field="14" count="1" selected="0">
            <x v="0"/>
          </reference>
        </references>
      </pivotArea>
    </format>
    <format dxfId="339">
      <pivotArea dataOnly="0" labelOnly="1" outline="0" fieldPosition="0">
        <references count="7">
          <reference field="1" count="1" selected="0">
            <x v="212"/>
          </reference>
          <reference field="7" count="1" selected="0">
            <x v="6"/>
          </reference>
          <reference field="8" count="1" selected="0">
            <x v="154"/>
          </reference>
          <reference field="11" count="1" selected="0">
            <x v="72"/>
          </reference>
          <reference field="12" count="1" selected="0">
            <x v="0"/>
          </reference>
          <reference field="13" count="1">
            <x v="241"/>
          </reference>
          <reference field="14" count="1" selected="0">
            <x v="2"/>
          </reference>
        </references>
      </pivotArea>
    </format>
    <format dxfId="338">
      <pivotArea dataOnly="0" labelOnly="1" outline="0" fieldPosition="0">
        <references count="7">
          <reference field="1" count="1" selected="0">
            <x v="213"/>
          </reference>
          <reference field="7" count="1" selected="0">
            <x v="6"/>
          </reference>
          <reference field="8" count="1" selected="0">
            <x v="153"/>
          </reference>
          <reference field="11" count="1" selected="0">
            <x v="75"/>
          </reference>
          <reference field="12" count="1" selected="0">
            <x v="0"/>
          </reference>
          <reference field="13" count="1">
            <x v="11"/>
          </reference>
          <reference field="14" count="1" selected="0">
            <x v="2"/>
          </reference>
        </references>
      </pivotArea>
    </format>
    <format dxfId="337">
      <pivotArea dataOnly="0" labelOnly="1" outline="0" fieldPosition="0">
        <references count="7">
          <reference field="1" count="1" selected="0">
            <x v="215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54"/>
          </reference>
          <reference field="12" count="1" selected="0">
            <x v="1"/>
          </reference>
          <reference field="13" count="1">
            <x v="277"/>
          </reference>
          <reference field="14" count="1" selected="0">
            <x v="2"/>
          </reference>
        </references>
      </pivotArea>
    </format>
    <format dxfId="336">
      <pivotArea dataOnly="0" labelOnly="1" outline="0" fieldPosition="0">
        <references count="7">
          <reference field="1" count="1" selected="0">
            <x v="221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85"/>
          </reference>
          <reference field="12" count="1" selected="0">
            <x v="0"/>
          </reference>
          <reference field="13" count="1">
            <x v="276"/>
          </reference>
          <reference field="14" count="1" selected="0">
            <x v="2"/>
          </reference>
        </references>
      </pivotArea>
    </format>
    <format dxfId="335">
      <pivotArea dataOnly="0" labelOnly="1" outline="0" fieldPosition="0">
        <references count="7">
          <reference field="1" count="1" selected="0">
            <x v="243"/>
          </reference>
          <reference field="7" count="1" selected="0">
            <x v="6"/>
          </reference>
          <reference field="8" count="1" selected="0">
            <x v="93"/>
          </reference>
          <reference field="11" count="1" selected="0">
            <x v="128"/>
          </reference>
          <reference field="12" count="1" selected="0">
            <x v="0"/>
          </reference>
          <reference field="13" count="1">
            <x v="237"/>
          </reference>
          <reference field="14" count="1" selected="0">
            <x v="1"/>
          </reference>
        </references>
      </pivotArea>
    </format>
    <format dxfId="334">
      <pivotArea dataOnly="0" labelOnly="1" outline="0" fieldPosition="0">
        <references count="7">
          <reference field="1" count="1" selected="0">
            <x v="244"/>
          </reference>
          <reference field="7" count="1" selected="0">
            <x v="6"/>
          </reference>
          <reference field="8" count="1" selected="0">
            <x v="94"/>
          </reference>
          <reference field="11" count="1" selected="0">
            <x v="139"/>
          </reference>
          <reference field="12" count="1" selected="0">
            <x v="0"/>
          </reference>
          <reference field="13" count="1">
            <x v="246"/>
          </reference>
          <reference field="14" count="1" selected="0">
            <x v="1"/>
          </reference>
        </references>
      </pivotArea>
    </format>
    <format dxfId="333">
      <pivotArea dataOnly="0" labelOnly="1" outline="0" fieldPosition="0">
        <references count="7">
          <reference field="1" count="1" selected="0">
            <x v="258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57"/>
          </reference>
          <reference field="12" count="1" selected="0">
            <x v="1"/>
          </reference>
          <reference field="13" count="1">
            <x v="216"/>
          </reference>
          <reference field="14" count="1" selected="0">
            <x v="2"/>
          </reference>
        </references>
      </pivotArea>
    </format>
    <format dxfId="332">
      <pivotArea dataOnly="0" labelOnly="1" outline="0" fieldPosition="0">
        <references count="7">
          <reference field="1" count="1" selected="0">
            <x v="260"/>
          </reference>
          <reference field="7" count="1" selected="0">
            <x v="6"/>
          </reference>
          <reference field="8" count="1" selected="0">
            <x v="21"/>
          </reference>
          <reference field="11" count="1" selected="0">
            <x v="61"/>
          </reference>
          <reference field="12" count="1" selected="0">
            <x v="1"/>
          </reference>
          <reference field="13" count="1">
            <x v="187"/>
          </reference>
          <reference field="14" count="1" selected="0">
            <x v="2"/>
          </reference>
        </references>
      </pivotArea>
    </format>
    <format dxfId="331">
      <pivotArea dataOnly="0" labelOnly="1" outline="0" fieldPosition="0">
        <references count="7">
          <reference field="1" count="1" selected="0">
            <x v="262"/>
          </reference>
          <reference field="7" count="1" selected="0">
            <x v="6"/>
          </reference>
          <reference field="8" count="1" selected="0">
            <x v="158"/>
          </reference>
          <reference field="11" count="1" selected="0">
            <x v="59"/>
          </reference>
          <reference field="12" count="1" selected="0">
            <x v="1"/>
          </reference>
          <reference field="13" count="1">
            <x v="257"/>
          </reference>
          <reference field="14" count="1" selected="0">
            <x v="2"/>
          </reference>
        </references>
      </pivotArea>
    </format>
    <format dxfId="330">
      <pivotArea dataOnly="0" labelOnly="1" outline="0" fieldPosition="0">
        <references count="7">
          <reference field="1" count="1" selected="0">
            <x v="59"/>
          </reference>
          <reference field="7" count="1" selected="0">
            <x v="7"/>
          </reference>
          <reference field="8" count="1" selected="0">
            <x v="120"/>
          </reference>
          <reference field="11" count="1" selected="0">
            <x v="88"/>
          </reference>
          <reference field="12" count="1" selected="0">
            <x v="1"/>
          </reference>
          <reference field="13" count="1">
            <x v="44"/>
          </reference>
          <reference field="14" count="1" selected="0">
            <x v="2"/>
          </reference>
        </references>
      </pivotArea>
    </format>
    <format dxfId="329">
      <pivotArea dataOnly="0" labelOnly="1" outline="0" fieldPosition="0">
        <references count="7">
          <reference field="1" count="1" selected="0">
            <x v="62"/>
          </reference>
          <reference field="7" count="1" selected="0">
            <x v="7"/>
          </reference>
          <reference field="8" count="1" selected="0">
            <x v="123"/>
          </reference>
          <reference field="11" count="1" selected="0">
            <x v="90"/>
          </reference>
          <reference field="12" count="1" selected="0">
            <x v="1"/>
          </reference>
          <reference field="13" count="1">
            <x v="61"/>
          </reference>
          <reference field="14" count="1" selected="0">
            <x v="2"/>
          </reference>
        </references>
      </pivotArea>
    </format>
    <format dxfId="328">
      <pivotArea dataOnly="0" labelOnly="1" outline="0" fieldPosition="0">
        <references count="7">
          <reference field="1" count="1" selected="0">
            <x v="63"/>
          </reference>
          <reference field="7" count="1" selected="0">
            <x v="7"/>
          </reference>
          <reference field="8" count="1" selected="0">
            <x v="124"/>
          </reference>
          <reference field="11" count="1" selected="0">
            <x v="90"/>
          </reference>
          <reference field="12" count="1" selected="0">
            <x v="1"/>
          </reference>
          <reference field="13" count="1">
            <x v="60"/>
          </reference>
          <reference field="14" count="1" selected="0">
            <x v="2"/>
          </reference>
        </references>
      </pivotArea>
    </format>
    <format dxfId="327">
      <pivotArea dataOnly="0" labelOnly="1" outline="0" fieldPosition="0">
        <references count="7">
          <reference field="1" count="1" selected="0">
            <x v="71"/>
          </reference>
          <reference field="7" count="1" selected="0">
            <x v="7"/>
          </reference>
          <reference field="8" count="1" selected="0">
            <x v="125"/>
          </reference>
          <reference field="11" count="1" selected="0">
            <x v="110"/>
          </reference>
          <reference field="12" count="1" selected="0">
            <x v="1"/>
          </reference>
          <reference field="13" count="1">
            <x v="36"/>
          </reference>
          <reference field="14" count="1" selected="0">
            <x v="2"/>
          </reference>
        </references>
      </pivotArea>
    </format>
    <format dxfId="326">
      <pivotArea dataOnly="0" labelOnly="1" outline="0" fieldPosition="0">
        <references count="7">
          <reference field="1" count="1" selected="0">
            <x v="72"/>
          </reference>
          <reference field="7" count="1" selected="0">
            <x v="7"/>
          </reference>
          <reference field="8" count="1" selected="0">
            <x v="126"/>
          </reference>
          <reference field="11" count="1" selected="0">
            <x v="98"/>
          </reference>
          <reference field="12" count="1" selected="0">
            <x v="1"/>
          </reference>
          <reference field="13" count="1">
            <x v="41"/>
          </reference>
          <reference field="14" count="1" selected="0">
            <x v="2"/>
          </reference>
        </references>
      </pivotArea>
    </format>
    <format dxfId="325">
      <pivotArea dataOnly="0" labelOnly="1" outline="0" fieldPosition="0">
        <references count="7">
          <reference field="1" count="1" selected="0">
            <x v="74"/>
          </reference>
          <reference field="7" count="1" selected="0">
            <x v="7"/>
          </reference>
          <reference field="8" count="1" selected="0">
            <x v="128"/>
          </reference>
          <reference field="11" count="1" selected="0">
            <x v="90"/>
          </reference>
          <reference field="12" count="1" selected="0">
            <x v="1"/>
          </reference>
          <reference field="13" count="1">
            <x v="59"/>
          </reference>
          <reference field="14" count="1" selected="0">
            <x v="2"/>
          </reference>
        </references>
      </pivotArea>
    </format>
    <format dxfId="324">
      <pivotArea dataOnly="0" labelOnly="1" outline="0" fieldPosition="0">
        <references count="7">
          <reference field="1" count="1" selected="0">
            <x v="75"/>
          </reference>
          <reference field="7" count="1" selected="0">
            <x v="7"/>
          </reference>
          <reference field="8" count="1" selected="0">
            <x v="129"/>
          </reference>
          <reference field="11" count="1" selected="0">
            <x v="90"/>
          </reference>
          <reference field="12" count="1" selected="0">
            <x v="1"/>
          </reference>
          <reference field="13" count="1">
            <x v="58"/>
          </reference>
          <reference field="14" count="1" selected="0">
            <x v="2"/>
          </reference>
        </references>
      </pivotArea>
    </format>
    <format dxfId="323">
      <pivotArea dataOnly="0" labelOnly="1" outline="0" fieldPosition="0">
        <references count="7">
          <reference field="1" count="1" selected="0">
            <x v="149"/>
          </reference>
          <reference field="7" count="1" selected="0">
            <x v="7"/>
          </reference>
          <reference field="8" count="1" selected="0">
            <x v="158"/>
          </reference>
          <reference field="11" count="1" selected="0">
            <x v="122"/>
          </reference>
          <reference field="12" count="1" selected="0">
            <x v="0"/>
          </reference>
          <reference field="13" count="1">
            <x v="15"/>
          </reference>
          <reference field="14" count="1" selected="0">
            <x v="2"/>
          </reference>
        </references>
      </pivotArea>
    </format>
    <format dxfId="322">
      <pivotArea dataOnly="0" labelOnly="1" outline="0" fieldPosition="0">
        <references count="7">
          <reference field="1" count="1" selected="0">
            <x v="164"/>
          </reference>
          <reference field="7" count="1" selected="0">
            <x v="7"/>
          </reference>
          <reference field="8" count="1" selected="0">
            <x v="47"/>
          </reference>
          <reference field="11" count="1" selected="0">
            <x v="28"/>
          </reference>
          <reference field="12" count="1" selected="0">
            <x v="1"/>
          </reference>
          <reference field="13" count="1">
            <x v="19"/>
          </reference>
          <reference field="14" count="1" selected="0">
            <x v="2"/>
          </reference>
        </references>
      </pivotArea>
    </format>
    <format dxfId="321">
      <pivotArea dataOnly="0" labelOnly="1" outline="0" fieldPosition="0">
        <references count="7">
          <reference field="1" count="1" selected="0">
            <x v="188"/>
          </reference>
          <reference field="7" count="1" selected="0">
            <x v="7"/>
          </reference>
          <reference field="8" count="1" selected="0">
            <x v="115"/>
          </reference>
          <reference field="11" count="1" selected="0">
            <x v="84"/>
          </reference>
          <reference field="12" count="1" selected="0">
            <x v="1"/>
          </reference>
          <reference field="13" count="1">
            <x v="39"/>
          </reference>
          <reference field="14" count="1" selected="0">
            <x v="2"/>
          </reference>
        </references>
      </pivotArea>
    </format>
    <format dxfId="320">
      <pivotArea dataOnly="0" labelOnly="1" outline="0" fieldPosition="0">
        <references count="7">
          <reference field="1" count="1" selected="0">
            <x v="64"/>
          </reference>
          <reference field="7" count="1" selected="0">
            <x v="8"/>
          </reference>
          <reference field="8" count="1" selected="0">
            <x v="83"/>
          </reference>
          <reference field="11" count="1" selected="0">
            <x v="71"/>
          </reference>
          <reference field="12" count="1" selected="0">
            <x v="1"/>
          </reference>
          <reference field="13" count="1">
            <x v="89"/>
          </reference>
          <reference field="14" count="1" selected="0">
            <x v="0"/>
          </reference>
        </references>
      </pivotArea>
    </format>
    <format dxfId="319">
      <pivotArea dataOnly="0" labelOnly="1" outline="0" fieldPosition="0">
        <references count="7">
          <reference field="1" count="1" selected="0">
            <x v="183"/>
          </reference>
          <reference field="7" count="1" selected="0">
            <x v="8"/>
          </reference>
          <reference field="8" count="1" selected="0">
            <x v="74"/>
          </reference>
          <reference field="11" count="1" selected="0">
            <x v="131"/>
          </reference>
          <reference field="12" count="1" selected="0">
            <x v="1"/>
          </reference>
          <reference field="13" count="1">
            <x v="63"/>
          </reference>
          <reference field="14" count="1" selected="0">
            <x v="2"/>
          </reference>
        </references>
      </pivotArea>
    </format>
    <format dxfId="318">
      <pivotArea dataOnly="0" labelOnly="1" outline="0" fieldPosition="0">
        <references count="7">
          <reference field="1" count="1" selected="0">
            <x v="54"/>
          </reference>
          <reference field="7" count="1" selected="0">
            <x v="9"/>
          </reference>
          <reference field="8" count="1" selected="0">
            <x v="158"/>
          </reference>
          <reference field="11" count="1" selected="0">
            <x v="0"/>
          </reference>
          <reference field="12" count="1" selected="0">
            <x v="0"/>
          </reference>
          <reference field="13" count="1">
            <x v="113"/>
          </reference>
          <reference field="14" count="1" selected="0">
            <x v="2"/>
          </reference>
        </references>
      </pivotArea>
    </format>
    <format dxfId="317">
      <pivotArea dataOnly="0" labelOnly="1" outline="0" fieldPosition="0">
        <references count="7">
          <reference field="1" count="1" selected="0">
            <x v="104"/>
          </reference>
          <reference field="7" count="1" selected="0">
            <x v="9"/>
          </reference>
          <reference field="8" count="1" selected="0">
            <x v="43"/>
          </reference>
          <reference field="11" count="1" selected="0">
            <x v="0"/>
          </reference>
          <reference field="12" count="1" selected="0">
            <x v="0"/>
          </reference>
          <reference field="13" count="1">
            <x v="107"/>
          </reference>
          <reference field="14" count="1" selected="0">
            <x v="2"/>
          </reference>
        </references>
      </pivotArea>
    </format>
    <format dxfId="316">
      <pivotArea dataOnly="0" labelOnly="1" outline="0" fieldPosition="0">
        <references count="7">
          <reference field="1" count="1" selected="0">
            <x v="223"/>
          </reference>
          <reference field="7" count="1" selected="0">
            <x v="9"/>
          </reference>
          <reference field="8" count="1" selected="0">
            <x v="36"/>
          </reference>
          <reference field="11" count="1" selected="0">
            <x v="0"/>
          </reference>
          <reference field="12" count="1" selected="0">
            <x v="0"/>
          </reference>
          <reference field="13" count="1">
            <x v="104"/>
          </reference>
          <reference field="14" count="1" selected="0">
            <x v="2"/>
          </reference>
        </references>
      </pivotArea>
    </format>
    <format dxfId="315">
      <pivotArea dataOnly="0" labelOnly="1" outline="0" fieldPosition="0">
        <references count="7">
          <reference field="1" count="1" selected="0">
            <x v="225"/>
          </reference>
          <reference field="7" count="1" selected="0">
            <x v="9"/>
          </reference>
          <reference field="8" count="1" selected="0">
            <x v="158"/>
          </reference>
          <reference field="11" count="1" selected="0">
            <x v="0"/>
          </reference>
          <reference field="12" count="1" selected="0">
            <x v="0"/>
          </reference>
          <reference field="13" count="1">
            <x v="111"/>
          </reference>
          <reference field="14" count="1" selected="0">
            <x v="2"/>
          </reference>
        </references>
      </pivotArea>
    </format>
    <format dxfId="314">
      <pivotArea dataOnly="0" labelOnly="1" outline="0" fieldPosition="0">
        <references count="7">
          <reference field="1" count="1" selected="0">
            <x v="226"/>
          </reference>
          <reference field="7" count="1" selected="0">
            <x v="9"/>
          </reference>
          <reference field="8" count="1" selected="0">
            <x v="158"/>
          </reference>
          <reference field="11" count="1" selected="0">
            <x v="161"/>
          </reference>
          <reference field="12" count="1" selected="0">
            <x v="1"/>
          </reference>
          <reference field="13" count="1">
            <x v="110"/>
          </reference>
          <reference field="14" count="1" selected="0">
            <x v="2"/>
          </reference>
        </references>
      </pivotArea>
    </format>
    <format dxfId="313">
      <pivotArea dataOnly="0" labelOnly="1" outline="0" fieldPosition="0">
        <references count="7">
          <reference field="1" count="1" selected="0">
            <x v="234"/>
          </reference>
          <reference field="7" count="1" selected="0">
            <x v="9"/>
          </reference>
          <reference field="8" count="1" selected="0">
            <x v="16"/>
          </reference>
          <reference field="11" count="1" selected="0">
            <x v="0"/>
          </reference>
          <reference field="12" count="1" selected="0">
            <x v="0"/>
          </reference>
          <reference field="13" count="1">
            <x v="108"/>
          </reference>
          <reference field="14" count="1" selected="0">
            <x v="2"/>
          </reference>
        </references>
      </pivotArea>
    </format>
    <format dxfId="312">
      <pivotArea dataOnly="0" labelOnly="1" outline="0" fieldPosition="0">
        <references count="7">
          <reference field="1" count="1" selected="0">
            <x v="237"/>
          </reference>
          <reference field="7" count="1" selected="0">
            <x v="9"/>
          </reference>
          <reference field="8" count="1" selected="0">
            <x v="44"/>
          </reference>
          <reference field="11" count="1" selected="0">
            <x v="0"/>
          </reference>
          <reference field="12" count="1" selected="0">
            <x v="0"/>
          </reference>
          <reference field="13" count="1">
            <x v="109"/>
          </reference>
          <reference field="14" count="1" selected="0">
            <x v="2"/>
          </reference>
        </references>
      </pivotArea>
    </format>
    <format dxfId="311">
      <pivotArea dataOnly="0" labelOnly="1" outline="0" fieldPosition="0">
        <references count="7">
          <reference field="1" count="1" selected="0">
            <x v="261"/>
          </reference>
          <reference field="7" count="1" selected="0">
            <x v="9"/>
          </reference>
          <reference field="8" count="1" selected="0">
            <x v="158"/>
          </reference>
          <reference field="11" count="1" selected="0">
            <x v="0"/>
          </reference>
          <reference field="12" count="1" selected="0">
            <x v="0"/>
          </reference>
          <reference field="13" count="1">
            <x v="112"/>
          </reference>
          <reference field="14" count="1" selected="0">
            <x v="2"/>
          </reference>
        </references>
      </pivotArea>
    </format>
    <format dxfId="310">
      <pivotArea dataOnly="0" labelOnly="1" outline="0" fieldPosition="0">
        <references count="7">
          <reference field="1" count="1" selected="0">
            <x v="45"/>
          </reference>
          <reference field="7" count="1" selected="0">
            <x v="10"/>
          </reference>
          <reference field="8" count="1" selected="0">
            <x v="118"/>
          </reference>
          <reference field="11" count="1" selected="0">
            <x v="78"/>
          </reference>
          <reference field="12" count="1" selected="0">
            <x v="1"/>
          </reference>
          <reference field="13" count="1">
            <x v="50"/>
          </reference>
          <reference field="14" count="1" selected="0">
            <x v="2"/>
          </reference>
        </references>
      </pivotArea>
    </format>
    <format dxfId="309">
      <pivotArea dataOnly="0" labelOnly="1" outline="0" fieldPosition="0">
        <references count="7">
          <reference field="1" count="1" selected="0">
            <x v="61"/>
          </reference>
          <reference field="7" count="1" selected="0">
            <x v="10"/>
          </reference>
          <reference field="8" count="1" selected="0">
            <x v="122"/>
          </reference>
          <reference field="11" count="1" selected="0">
            <x v="118"/>
          </reference>
          <reference field="12" count="1" selected="0">
            <x v="1"/>
          </reference>
          <reference field="13" count="1">
            <x v="35"/>
          </reference>
          <reference field="14" count="1" selected="0">
            <x v="2"/>
          </reference>
        </references>
      </pivotArea>
    </format>
    <format dxfId="308">
      <pivotArea dataOnly="0" labelOnly="1" outline="0" fieldPosition="0">
        <references count="7">
          <reference field="1" count="1" selected="0">
            <x v="86"/>
          </reference>
          <reference field="7" count="1" selected="0">
            <x v="10"/>
          </reference>
          <reference field="8" count="1" selected="0">
            <x v="119"/>
          </reference>
          <reference field="11" count="1" selected="0">
            <x v="116"/>
          </reference>
          <reference field="12" count="1" selected="0">
            <x v="1"/>
          </reference>
          <reference field="13" count="1">
            <x v="38"/>
          </reference>
          <reference field="14" count="1" selected="0">
            <x v="2"/>
          </reference>
        </references>
      </pivotArea>
    </format>
    <format dxfId="307">
      <pivotArea dataOnly="0" labelOnly="1" outline="0" fieldPosition="0">
        <references count="7">
          <reference field="1" count="1" selected="0">
            <x v="98"/>
          </reference>
          <reference field="7" count="1" selected="0">
            <x v="10"/>
          </reference>
          <reference field="8" count="1" selected="0">
            <x v="134"/>
          </reference>
          <reference field="11" count="1" selected="0">
            <x v="104"/>
          </reference>
          <reference field="12" count="1" selected="0">
            <x v="1"/>
          </reference>
          <reference field="13" count="1">
            <x v="34"/>
          </reference>
          <reference field="14" count="1" selected="0">
            <x v="2"/>
          </reference>
        </references>
      </pivotArea>
    </format>
    <format dxfId="306">
      <pivotArea dataOnly="0" labelOnly="1" outline="0" fieldPosition="0">
        <references count="7">
          <reference field="1" count="1" selected="0">
            <x v="155"/>
          </reference>
          <reference field="7" count="1" selected="0">
            <x v="10"/>
          </reference>
          <reference field="8" count="1" selected="0">
            <x v="158"/>
          </reference>
          <reference field="11" count="1" selected="0">
            <x v="94"/>
          </reference>
          <reference field="12" count="1" selected="0">
            <x v="1"/>
          </reference>
          <reference field="13" count="1">
            <x v="33"/>
          </reference>
          <reference field="14" count="1" selected="0">
            <x v="2"/>
          </reference>
        </references>
      </pivotArea>
    </format>
    <format dxfId="305">
      <pivotArea dataOnly="0" labelOnly="1" outline="0" fieldPosition="0">
        <references count="7">
          <reference field="1" count="1" selected="0">
            <x v="239"/>
          </reference>
          <reference field="7" count="1" selected="0">
            <x v="10"/>
          </reference>
          <reference field="8" count="1" selected="0">
            <x v="117"/>
          </reference>
          <reference field="11" count="1" selected="0">
            <x v="73"/>
          </reference>
          <reference field="12" count="1" selected="0">
            <x v="1"/>
          </reference>
          <reference field="13" count="1">
            <x v="51"/>
          </reference>
          <reference field="14" count="1" selected="0">
            <x v="2"/>
          </reference>
        </references>
      </pivotArea>
    </format>
    <format dxfId="304">
      <pivotArea dataOnly="0" labelOnly="1" outline="0" fieldPosition="0">
        <references count="7">
          <reference field="1" count="1" selected="0">
            <x v="165"/>
          </reference>
          <reference field="7" count="1" selected="0">
            <x v="11"/>
          </reference>
          <reference field="8" count="1" selected="0">
            <x v="155"/>
          </reference>
          <reference field="11" count="1" selected="0">
            <x v="7"/>
          </reference>
          <reference field="12" count="1" selected="0">
            <x v="1"/>
          </reference>
          <reference field="13" count="1">
            <x v="249"/>
          </reference>
          <reference field="14" count="1" selected="0">
            <x v="2"/>
          </reference>
        </references>
      </pivotArea>
    </format>
    <format dxfId="303">
      <pivotArea dataOnly="0" labelOnly="1" outline="0" fieldPosition="0">
        <references count="7">
          <reference field="1" count="1" selected="0">
            <x v="166"/>
          </reference>
          <reference field="7" count="1" selected="0">
            <x v="11"/>
          </reference>
          <reference field="8" count="1" selected="0">
            <x v="155"/>
          </reference>
          <reference field="11" count="1" selected="0">
            <x v="6"/>
          </reference>
          <reference field="12" count="1" selected="0">
            <x v="1"/>
          </reference>
          <reference field="13" count="1">
            <x v="248"/>
          </reference>
          <reference field="14" count="1" selected="0">
            <x v="2"/>
          </reference>
        </references>
      </pivotArea>
    </format>
    <format dxfId="302">
      <pivotArea dataOnly="0" labelOnly="1" outline="0" fieldPosition="0">
        <references count="7">
          <reference field="1" count="1" selected="0">
            <x v="167"/>
          </reference>
          <reference field="7" count="1" selected="0">
            <x v="11"/>
          </reference>
          <reference field="8" count="1" selected="0">
            <x v="82"/>
          </reference>
          <reference field="11" count="1" selected="0">
            <x v="14"/>
          </reference>
          <reference field="12" count="1" selected="0">
            <x v="1"/>
          </reference>
          <reference field="13" count="1">
            <x v="247"/>
          </reference>
          <reference field="14" count="1" selected="0">
            <x v="2"/>
          </reference>
        </references>
      </pivotArea>
    </format>
    <format dxfId="301">
      <pivotArea dataOnly="0" labelOnly="1" outline="0" fieldPosition="0">
        <references count="7">
          <reference field="1" count="1" selected="0">
            <x v="168"/>
          </reference>
          <reference field="7" count="1" selected="0">
            <x v="11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1"/>
          </reference>
          <reference field="13" count="1">
            <x v="101"/>
          </reference>
          <reference field="14" count="1" selected="0">
            <x v="2"/>
          </reference>
        </references>
      </pivotArea>
    </format>
    <format dxfId="300">
      <pivotArea dataOnly="0" labelOnly="1" outline="0" fieldPosition="0">
        <references count="7">
          <reference field="1" count="1" selected="0">
            <x v="169"/>
          </reference>
          <reference field="7" count="1" selected="0">
            <x v="11"/>
          </reference>
          <reference field="8" count="1" selected="0">
            <x v="157"/>
          </reference>
          <reference field="11" count="1" selected="0">
            <x v="24"/>
          </reference>
          <reference field="12" count="1" selected="0">
            <x v="1"/>
          </reference>
          <reference field="13" count="1">
            <x v="244"/>
          </reference>
          <reference field="14" count="1" selected="0">
            <x v="2"/>
          </reference>
        </references>
      </pivotArea>
    </format>
    <format dxfId="299">
      <pivotArea dataOnly="0" labelOnly="1" outline="0" fieldPosition="0">
        <references count="7">
          <reference field="1" count="1" selected="0">
            <x v="170"/>
          </reference>
          <reference field="7" count="1" selected="0">
            <x v="11"/>
          </reference>
          <reference field="8" count="1" selected="0">
            <x v="156"/>
          </reference>
          <reference field="11" count="1" selected="0">
            <x v="12"/>
          </reference>
          <reference field="12" count="1" selected="0">
            <x v="1"/>
          </reference>
          <reference field="13" count="1">
            <x v="245"/>
          </reference>
          <reference field="14" count="1" selected="0">
            <x v="2"/>
          </reference>
        </references>
      </pivotArea>
    </format>
    <format dxfId="298">
      <pivotArea dataOnly="0" labelOnly="1" outline="0" fieldPosition="0">
        <references count="7">
          <reference field="1" count="1" selected="0">
            <x v="171"/>
          </reference>
          <reference field="7" count="1" selected="0">
            <x v="11"/>
          </reference>
          <reference field="8" count="1" selected="0">
            <x v="158"/>
          </reference>
          <reference field="11" count="1" selected="0">
            <x v="27"/>
          </reference>
          <reference field="12" count="1" selected="0">
            <x v="1"/>
          </reference>
          <reference field="13" count="1">
            <x v="102"/>
          </reference>
          <reference field="14" count="1" selected="0">
            <x v="2"/>
          </reference>
        </references>
      </pivotArea>
    </format>
    <format dxfId="297">
      <pivotArea dataOnly="0" labelOnly="1" outline="0" fieldPosition="0">
        <references count="7">
          <reference field="1" count="1" selected="0">
            <x v="172"/>
          </reference>
          <reference field="7" count="1" selected="0">
            <x v="11"/>
          </reference>
          <reference field="8" count="1" selected="0">
            <x v="81"/>
          </reference>
          <reference field="11" count="1" selected="0">
            <x v="16"/>
          </reference>
          <reference field="12" count="1" selected="0">
            <x v="1"/>
          </reference>
          <reference field="13" count="1">
            <x v="103"/>
          </reference>
          <reference field="14" count="1" selected="0">
            <x v="2"/>
          </reference>
        </references>
      </pivotArea>
    </format>
    <format dxfId="296">
      <pivotArea dataOnly="0" labelOnly="1" outline="0" fieldPosition="0">
        <references count="7">
          <reference field="1" count="1" selected="0">
            <x v="204"/>
          </reference>
          <reference field="7" count="1" selected="0">
            <x v="11"/>
          </reference>
          <reference field="8" count="1" selected="0">
            <x v="158"/>
          </reference>
          <reference field="11" count="1" selected="0">
            <x v="50"/>
          </reference>
          <reference field="12" count="1" selected="0">
            <x v="1"/>
          </reference>
          <reference field="13" count="1">
            <x v="8"/>
          </reference>
          <reference field="14" count="1" selected="0">
            <x v="2"/>
          </reference>
        </references>
      </pivotArea>
    </format>
    <format dxfId="295">
      <pivotArea dataOnly="0" labelOnly="1" outline="0" fieldPosition="0">
        <references count="7">
          <reference field="1" count="1" selected="0">
            <x v="84"/>
          </reference>
          <reference field="7" count="1" selected="0">
            <x v="12"/>
          </reference>
          <reference field="8" count="1" selected="0">
            <x v="132"/>
          </reference>
          <reference field="11" count="1" selected="0">
            <x v="119"/>
          </reference>
          <reference field="12" count="1" selected="0">
            <x v="1"/>
          </reference>
          <reference field="13" count="1">
            <x v="47"/>
          </reference>
          <reference field="14" count="1" selected="0">
            <x v="2"/>
          </reference>
        </references>
      </pivotArea>
    </format>
    <format dxfId="294">
      <pivotArea dataOnly="0" labelOnly="1" outline="0" fieldPosition="0">
        <references count="7">
          <reference field="1" count="1" selected="0">
            <x v="184"/>
          </reference>
          <reference field="7" count="1" selected="0">
            <x v="12"/>
          </reference>
          <reference field="8" count="1" selected="0">
            <x v="112"/>
          </reference>
          <reference field="11" count="1" selected="0">
            <x v="115"/>
          </reference>
          <reference field="12" count="1" selected="0">
            <x v="1"/>
          </reference>
          <reference field="13" count="1">
            <x v="52"/>
          </reference>
          <reference field="14" count="1" selected="0">
            <x v="2"/>
          </reference>
        </references>
      </pivotArea>
    </format>
    <format dxfId="293">
      <pivotArea dataOnly="0" labelOnly="1" outline="0" fieldPosition="0">
        <references count="7">
          <reference field="1" count="1" selected="0">
            <x v="185"/>
          </reference>
          <reference field="7" count="1" selected="0">
            <x v="12"/>
          </reference>
          <reference field="8" count="1" selected="0">
            <x v="114"/>
          </reference>
          <reference field="11" count="1" selected="0">
            <x v="137"/>
          </reference>
          <reference field="12" count="1" selected="0">
            <x v="1"/>
          </reference>
          <reference field="13" count="1">
            <x v="45"/>
          </reference>
          <reference field="14" count="1" selected="0">
            <x v="1"/>
          </reference>
        </references>
      </pivotArea>
    </format>
    <format dxfId="292">
      <pivotArea dataOnly="0" labelOnly="1" outline="0" fieldPosition="0">
        <references count="7">
          <reference field="1" count="1" selected="0">
            <x v="95"/>
          </reference>
          <reference field="7" count="1" selected="0">
            <x v="13"/>
          </reference>
          <reference field="8" count="1" selected="0">
            <x v="38"/>
          </reference>
          <reference field="11" count="1" selected="0">
            <x v="158"/>
          </reference>
          <reference field="12" count="1" selected="0">
            <x v="1"/>
          </reference>
          <reference field="13" count="1">
            <x v="122"/>
          </reference>
          <reference field="14" count="1" selected="0">
            <x v="2"/>
          </reference>
        </references>
      </pivotArea>
    </format>
    <format dxfId="291">
      <pivotArea dataOnly="0" labelOnly="1" outline="0" fieldPosition="0">
        <references count="7">
          <reference field="1" count="1" selected="0">
            <x v="96"/>
          </reference>
          <reference field="7" count="1" selected="0">
            <x v="13"/>
          </reference>
          <reference field="8" count="1" selected="0">
            <x v="88"/>
          </reference>
          <reference field="11" count="1" selected="0">
            <x v="157"/>
          </reference>
          <reference field="12" count="1" selected="0">
            <x v="1"/>
          </reference>
          <reference field="13" count="1">
            <x v="133"/>
          </reference>
          <reference field="14" count="1" selected="0">
            <x v="0"/>
          </reference>
        </references>
      </pivotArea>
    </format>
    <format dxfId="290">
      <pivotArea dataOnly="0" labelOnly="1" outline="0" fieldPosition="0">
        <references count="7">
          <reference field="1" count="1" selected="0">
            <x v="97"/>
          </reference>
          <reference field="7" count="1" selected="0">
            <x v="13"/>
          </reference>
          <reference field="8" count="1" selected="0">
            <x v="63"/>
          </reference>
          <reference field="11" count="1" selected="0">
            <x v="147"/>
          </reference>
          <reference field="12" count="1" selected="0">
            <x v="1"/>
          </reference>
          <reference field="13" count="1">
            <x v="229"/>
          </reference>
          <reference field="14" count="1" selected="0">
            <x v="2"/>
          </reference>
        </references>
      </pivotArea>
    </format>
    <format dxfId="289">
      <pivotArea dataOnly="0" labelOnly="1" outline="0" fieldPosition="0">
        <references count="7">
          <reference field="1" count="1" selected="0">
            <x v="238"/>
          </reference>
          <reference field="7" count="1" selected="0">
            <x v="13"/>
          </reference>
          <reference field="8" count="1" selected="0">
            <x v="10"/>
          </reference>
          <reference field="11" count="1" selected="0">
            <x v="103"/>
          </reference>
          <reference field="12" count="1" selected="0">
            <x v="1"/>
          </reference>
          <reference field="13" count="1">
            <x v="115"/>
          </reference>
          <reference field="14" count="1" selected="0">
            <x v="0"/>
          </reference>
        </references>
      </pivotArea>
    </format>
    <format dxfId="288">
      <pivotArea dataOnly="0" labelOnly="1" outline="0" fieldPosition="0">
        <references count="7">
          <reference field="1" count="1" selected="0">
            <x v="40"/>
          </reference>
          <reference field="7" count="1" selected="0">
            <x v="14"/>
          </reference>
          <reference field="8" count="1" selected="0">
            <x v="1"/>
          </reference>
          <reference field="11" count="1" selected="0">
            <x v="77"/>
          </reference>
          <reference field="12" count="1" selected="0">
            <x v="1"/>
          </reference>
          <reference field="13" count="1">
            <x v="228"/>
          </reference>
          <reference field="14" count="1" selected="0">
            <x v="2"/>
          </reference>
        </references>
      </pivotArea>
    </format>
    <format dxfId="287">
      <pivotArea dataOnly="0" labelOnly="1" outline="0" fieldPosition="0">
        <references count="7">
          <reference field="1" count="1" selected="0">
            <x v="203"/>
          </reference>
          <reference field="7" count="1" selected="0">
            <x v="14"/>
          </reference>
          <reference field="8" count="1" selected="0">
            <x v="15"/>
          </reference>
          <reference field="11" count="1" selected="0">
            <x v="100"/>
          </reference>
          <reference field="12" count="1" selected="0">
            <x v="1"/>
          </reference>
          <reference field="13" count="1">
            <x v="29"/>
          </reference>
          <reference field="14" count="1" selected="0">
            <x v="2"/>
          </reference>
        </references>
      </pivotArea>
    </format>
    <format dxfId="286">
      <pivotArea dataOnly="0" labelOnly="1" outline="0" fieldPosition="0">
        <references count="7">
          <reference field="1" count="1" selected="0">
            <x v="246"/>
          </reference>
          <reference field="7" count="1" selected="0">
            <x v="14"/>
          </reference>
          <reference field="8" count="1" selected="0">
            <x v="109"/>
          </reference>
          <reference field="11" count="1" selected="0">
            <x v="112"/>
          </reference>
          <reference field="12" count="1" selected="0">
            <x v="1"/>
          </reference>
          <reference field="13" count="1">
            <x v="16"/>
          </reference>
          <reference field="14" count="1" selected="0">
            <x v="2"/>
          </reference>
        </references>
      </pivotArea>
    </format>
    <format dxfId="285">
      <pivotArea dataOnly="0" labelOnly="1" outline="0" fieldPosition="0">
        <references count="7">
          <reference field="1" count="1" selected="0">
            <x v="88"/>
          </reference>
          <reference field="7" count="1" selected="0">
            <x v="15"/>
          </reference>
          <reference field="8" count="1" selected="0">
            <x v="57"/>
          </reference>
          <reference field="11" count="1" selected="0">
            <x v="63"/>
          </reference>
          <reference field="12" count="1" selected="0">
            <x v="1"/>
          </reference>
          <reference field="13" count="1">
            <x v="198"/>
          </reference>
          <reference field="14" count="1" selected="0">
            <x v="2"/>
          </reference>
        </references>
      </pivotArea>
    </format>
    <format dxfId="284">
      <pivotArea dataOnly="0" labelOnly="1" outline="0" fieldPosition="0">
        <references count="7">
          <reference field="1" count="1" selected="0">
            <x v="89"/>
          </reference>
          <reference field="7" count="1" selected="0">
            <x v="15"/>
          </reference>
          <reference field="8" count="1" selected="0">
            <x v="86"/>
          </reference>
          <reference field="11" count="1" selected="0">
            <x v="44"/>
          </reference>
          <reference field="12" count="1" selected="0">
            <x v="1"/>
          </reference>
          <reference field="13" count="1">
            <x v="105"/>
          </reference>
          <reference field="14" count="1" selected="0">
            <x v="2"/>
          </reference>
        </references>
      </pivotArea>
    </format>
    <format dxfId="283">
      <pivotArea dataOnly="0" labelOnly="1" outline="0" fieldPosition="0">
        <references count="7">
          <reference field="1" count="1" selected="0">
            <x v="91"/>
          </reference>
          <reference field="7" count="1" selected="0">
            <x v="15"/>
          </reference>
          <reference field="8" count="1" selected="0">
            <x v="158"/>
          </reference>
          <reference field="11" count="1" selected="0">
            <x v="144"/>
          </reference>
          <reference field="12" count="1" selected="0">
            <x v="1"/>
          </reference>
          <reference field="13" count="1">
            <x v="0"/>
          </reference>
          <reference field="14" count="1" selected="0">
            <x v="0"/>
          </reference>
        </references>
      </pivotArea>
    </format>
    <format dxfId="282">
      <pivotArea dataOnly="0" labelOnly="1" outline="0" fieldPosition="0">
        <references count="7">
          <reference field="1" count="1" selected="0">
            <x v="100"/>
          </reference>
          <reference field="7" count="1" selected="0">
            <x v="15"/>
          </reference>
          <reference field="8" count="1" selected="0">
            <x v="37"/>
          </reference>
          <reference field="11" count="1" selected="0">
            <x v="129"/>
          </reference>
          <reference field="12" count="1" selected="0">
            <x v="1"/>
          </reference>
          <reference field="13" count="1">
            <x v="195"/>
          </reference>
          <reference field="14" count="1" selected="0">
            <x v="2"/>
          </reference>
        </references>
      </pivotArea>
    </format>
    <format dxfId="281">
      <pivotArea dataOnly="0" labelOnly="1" outline="0" fieldPosition="0">
        <references count="7">
          <reference field="1" count="1" selected="0">
            <x v="125"/>
          </reference>
          <reference field="7" count="1" selected="0">
            <x v="15"/>
          </reference>
          <reference field="8" count="1" selected="0">
            <x v="103"/>
          </reference>
          <reference field="11" count="1" selected="0">
            <x v="97"/>
          </reference>
          <reference field="12" count="1" selected="0">
            <x v="1"/>
          </reference>
          <reference field="13" count="1">
            <x v="97"/>
          </reference>
          <reference field="14" count="1" selected="0">
            <x v="2"/>
          </reference>
        </references>
      </pivotArea>
    </format>
    <format dxfId="280">
      <pivotArea dataOnly="0" labelOnly="1" outline="0" fieldPosition="0">
        <references count="7">
          <reference field="1" count="1" selected="0">
            <x v="126"/>
          </reference>
          <reference field="7" count="1" selected="0">
            <x v="15"/>
          </reference>
          <reference field="8" count="1" selected="0">
            <x v="107"/>
          </reference>
          <reference field="11" count="1" selected="0">
            <x v="55"/>
          </reference>
          <reference field="12" count="1" selected="0">
            <x v="1"/>
          </reference>
          <reference field="13" count="1">
            <x v="6"/>
          </reference>
          <reference field="14" count="1" selected="0">
            <x v="2"/>
          </reference>
        </references>
      </pivotArea>
    </format>
    <format dxfId="279">
      <pivotArea dataOnly="0" labelOnly="1" outline="0" fieldPosition="0">
        <references count="7">
          <reference field="1" count="1" selected="0">
            <x v="127"/>
          </reference>
          <reference field="7" count="1" selected="0">
            <x v="15"/>
          </reference>
          <reference field="8" count="1" selected="0">
            <x v="107"/>
          </reference>
          <reference field="11" count="1" selected="0">
            <x v="55"/>
          </reference>
          <reference field="12" count="1" selected="0">
            <x v="1"/>
          </reference>
          <reference field="13" count="1">
            <x v="7"/>
          </reference>
          <reference field="14" count="1" selected="0">
            <x v="2"/>
          </reference>
        </references>
      </pivotArea>
    </format>
    <format dxfId="278">
      <pivotArea dataOnly="0" labelOnly="1" outline="0" fieldPosition="0">
        <references count="7">
          <reference field="1" count="1" selected="0">
            <x v="257"/>
          </reference>
          <reference field="7" count="1" selected="0">
            <x v="15"/>
          </reference>
          <reference field="8" count="1" selected="0">
            <x v="12"/>
          </reference>
          <reference field="11" count="1" selected="0">
            <x v="135"/>
          </reference>
          <reference field="12" count="1" selected="0">
            <x v="1"/>
          </reference>
          <reference field="13" count="1">
            <x v="3"/>
          </reference>
          <reference field="14" count="1" selected="0">
            <x v="1"/>
          </reference>
        </references>
      </pivotArea>
    </format>
    <format dxfId="277">
      <pivotArea dataOnly="0" labelOnly="1" outline="0" fieldPosition="0">
        <references count="7">
          <reference field="1" count="1" selected="0">
            <x v="265"/>
          </reference>
          <reference field="7" count="1" selected="0">
            <x v="15"/>
          </reference>
          <reference field="8" count="1" selected="0">
            <x v="104"/>
          </reference>
          <reference field="11" count="1" selected="0">
            <x v="76"/>
          </reference>
          <reference field="12" count="1" selected="0">
            <x v="0"/>
          </reference>
          <reference field="13" count="1">
            <x v="250"/>
          </reference>
          <reference field="14" count="1" selected="0">
            <x v="2"/>
          </reference>
        </references>
      </pivotArea>
    </format>
    <format dxfId="276">
      <pivotArea dataOnly="0" labelOnly="1" outline="0" fieldPosition="0">
        <references count="7">
          <reference field="1" count="1" selected="0">
            <x v="266"/>
          </reference>
          <reference field="7" count="1" selected="0">
            <x v="15"/>
          </reference>
          <reference field="8" count="1" selected="0">
            <x v="89"/>
          </reference>
          <reference field="11" count="1" selected="0">
            <x v="107"/>
          </reference>
          <reference field="12" count="1" selected="0">
            <x v="0"/>
          </reference>
          <reference field="13" count="1">
            <x v="32"/>
          </reference>
          <reference field="14" count="1" selected="0">
            <x v="2"/>
          </reference>
        </references>
      </pivotArea>
    </format>
    <format dxfId="275">
      <pivotArea dataOnly="0" labelOnly="1" outline="0" fieldPosition="0">
        <references count="7">
          <reference field="1" count="1" selected="0">
            <x v="267"/>
          </reference>
          <reference field="7" count="1" selected="0">
            <x v="15"/>
          </reference>
          <reference field="8" count="1" selected="0">
            <x v="139"/>
          </reference>
          <reference field="11" count="1" selected="0">
            <x v="58"/>
          </reference>
          <reference field="12" count="1" selected="0">
            <x v="0"/>
          </reference>
          <reference field="13" count="1">
            <x v="14"/>
          </reference>
          <reference field="14" count="1" selected="0">
            <x v="2"/>
          </reference>
        </references>
      </pivotArea>
    </format>
    <format dxfId="274">
      <pivotArea dataOnly="0" labelOnly="1" outline="0" fieldPosition="0">
        <references count="7">
          <reference field="1" count="1" selected="0">
            <x v="268"/>
          </reference>
          <reference field="7" count="1" selected="0">
            <x v="15"/>
          </reference>
          <reference field="8" count="1" selected="0">
            <x v="140"/>
          </reference>
          <reference field="11" count="1" selected="0">
            <x v="87"/>
          </reference>
          <reference field="12" count="1" selected="0">
            <x v="0"/>
          </reference>
          <reference field="13" count="1">
            <x v="252"/>
          </reference>
          <reference field="14" count="1" selected="0">
            <x v="2"/>
          </reference>
        </references>
      </pivotArea>
    </format>
    <format dxfId="273">
      <pivotArea dataOnly="0" labelOnly="1" outline="0" fieldPosition="0">
        <references count="7">
          <reference field="1" count="1" selected="0">
            <x v="6"/>
          </reference>
          <reference field="7" count="1" selected="0">
            <x v="16"/>
          </reference>
          <reference field="8" count="1" selected="0">
            <x v="111"/>
          </reference>
          <reference field="11" count="1" selected="0">
            <x v="1"/>
          </reference>
          <reference field="12" count="1" selected="0">
            <x v="0"/>
          </reference>
          <reference field="13" count="1">
            <x v="24"/>
          </reference>
          <reference field="14" count="1" selected="0">
            <x v="2"/>
          </reference>
        </references>
      </pivotArea>
    </format>
    <format dxfId="272">
      <pivotArea dataOnly="0" labelOnly="1" outline="0" fieldPosition="0">
        <references count="7">
          <reference field="1" count="1" selected="0">
            <x v="7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41"/>
          </reference>
          <reference field="14" count="1" selected="0">
            <x v="2"/>
          </reference>
        </references>
      </pivotArea>
    </format>
    <format dxfId="271">
      <pivotArea dataOnly="0" labelOnly="1" outline="0" fieldPosition="0">
        <references count="7">
          <reference field="1" count="1" selected="0">
            <x v="8"/>
          </reference>
          <reference field="7" count="1" selected="0">
            <x v="16"/>
          </reference>
          <reference field="8" count="1" selected="0">
            <x v="111"/>
          </reference>
          <reference field="11" count="1" selected="0">
            <x v="1"/>
          </reference>
          <reference field="12" count="1" selected="0">
            <x v="0"/>
          </reference>
          <reference field="13" count="1">
            <x v="27"/>
          </reference>
          <reference field="14" count="1" selected="0">
            <x v="2"/>
          </reference>
        </references>
      </pivotArea>
    </format>
    <format dxfId="270">
      <pivotArea dataOnly="0" labelOnly="1" outline="0" fieldPosition="0">
        <references count="7">
          <reference field="1" count="1" selected="0">
            <x v="9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21"/>
          </reference>
          <reference field="14" count="1" selected="0">
            <x v="2"/>
          </reference>
        </references>
      </pivotArea>
    </format>
    <format dxfId="269">
      <pivotArea dataOnly="0" labelOnly="1" outline="0" fieldPosition="0">
        <references count="7">
          <reference field="1" count="1" selected="0">
            <x v="10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36"/>
          </reference>
          <reference field="14" count="1" selected="0">
            <x v="2"/>
          </reference>
        </references>
      </pivotArea>
    </format>
    <format dxfId="268">
      <pivotArea dataOnly="0" labelOnly="1" outline="0" fieldPosition="0">
        <references count="7">
          <reference field="1" count="1" selected="0">
            <x v="11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18"/>
          </reference>
          <reference field="14" count="1" selected="0">
            <x v="2"/>
          </reference>
        </references>
      </pivotArea>
    </format>
    <format dxfId="267">
      <pivotArea dataOnly="0" labelOnly="1" outline="0" fieldPosition="0">
        <references count="7">
          <reference field="1" count="1" selected="0">
            <x v="12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42"/>
          </reference>
          <reference field="14" count="1" selected="0">
            <x v="2"/>
          </reference>
        </references>
      </pivotArea>
    </format>
    <format dxfId="266">
      <pivotArea dataOnly="0" labelOnly="1" outline="0" fieldPosition="0">
        <references count="7">
          <reference field="1" count="1" selected="0">
            <x v="13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43"/>
          </reference>
          <reference field="14" count="1" selected="0">
            <x v="2"/>
          </reference>
        </references>
      </pivotArea>
    </format>
    <format dxfId="265">
      <pivotArea dataOnly="0" labelOnly="1" outline="0" fieldPosition="0">
        <references count="7">
          <reference field="1" count="1" selected="0">
            <x v="14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45"/>
          </reference>
          <reference field="14" count="1" selected="0">
            <x v="2"/>
          </reference>
        </references>
      </pivotArea>
    </format>
    <format dxfId="264">
      <pivotArea dataOnly="0" labelOnly="1" outline="0" fieldPosition="0">
        <references count="7">
          <reference field="1" count="1" selected="0">
            <x v="15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49"/>
          </reference>
          <reference field="14" count="1" selected="0">
            <x v="2"/>
          </reference>
        </references>
      </pivotArea>
    </format>
    <format dxfId="263">
      <pivotArea dataOnly="0" labelOnly="1" outline="0" fieldPosition="0">
        <references count="7">
          <reference field="1" count="1" selected="0">
            <x v="17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17"/>
          </reference>
          <reference field="14" count="1" selected="0">
            <x v="2"/>
          </reference>
        </references>
      </pivotArea>
    </format>
    <format dxfId="262">
      <pivotArea dataOnly="0" labelOnly="1" outline="0" fieldPosition="0">
        <references count="7">
          <reference field="1" count="1" selected="0">
            <x v="19"/>
          </reference>
          <reference field="7" count="1" selected="0">
            <x v="16"/>
          </reference>
          <reference field="8" count="1" selected="0">
            <x v="111"/>
          </reference>
          <reference field="11" count="1" selected="0">
            <x v="1"/>
          </reference>
          <reference field="12" count="1" selected="0">
            <x v="0"/>
          </reference>
          <reference field="13" count="1">
            <x v="25"/>
          </reference>
          <reference field="14" count="1" selected="0">
            <x v="2"/>
          </reference>
        </references>
      </pivotArea>
    </format>
    <format dxfId="261">
      <pivotArea dataOnly="0" labelOnly="1" outline="0" fieldPosition="0">
        <references count="7">
          <reference field="1" count="1" selected="0">
            <x v="20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24"/>
          </reference>
          <reference field="14" count="1" selected="0">
            <x v="2"/>
          </reference>
        </references>
      </pivotArea>
    </format>
    <format dxfId="260">
      <pivotArea dataOnly="0" labelOnly="1" outline="0" fieldPosition="0">
        <references count="7">
          <reference field="1" count="1" selected="0">
            <x v="22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31"/>
          </reference>
          <reference field="14" count="1" selected="0">
            <x v="2"/>
          </reference>
        </references>
      </pivotArea>
    </format>
    <format dxfId="259">
      <pivotArea dataOnly="0" labelOnly="1" outline="0" fieldPosition="0">
        <references count="7">
          <reference field="1" count="1" selected="0">
            <x v="24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16"/>
          </reference>
          <reference field="14" count="1" selected="0">
            <x v="2"/>
          </reference>
        </references>
      </pivotArea>
    </format>
    <format dxfId="258">
      <pivotArea dataOnly="0" labelOnly="1" outline="0" fieldPosition="0">
        <references count="7">
          <reference field="1" count="1" selected="0">
            <x v="25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46"/>
          </reference>
          <reference field="14" count="1" selected="0">
            <x v="2"/>
          </reference>
        </references>
      </pivotArea>
    </format>
    <format dxfId="257">
      <pivotArea dataOnly="0" labelOnly="1" outline="0" fieldPosition="0">
        <references count="7">
          <reference field="1" count="1" selected="0">
            <x v="26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47"/>
          </reference>
          <reference field="14" count="1" selected="0">
            <x v="2"/>
          </reference>
        </references>
      </pivotArea>
    </format>
    <format dxfId="256">
      <pivotArea dataOnly="0" labelOnly="1" outline="0" fieldPosition="0">
        <references count="7">
          <reference field="1" count="1" selected="0">
            <x v="27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48"/>
          </reference>
          <reference field="14" count="1" selected="0">
            <x v="2"/>
          </reference>
        </references>
      </pivotArea>
    </format>
    <format dxfId="255">
      <pivotArea dataOnly="0" labelOnly="1" outline="0" fieldPosition="0">
        <references count="7">
          <reference field="1" count="1" selected="0">
            <x v="28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20"/>
          </reference>
          <reference field="14" count="1" selected="0">
            <x v="2"/>
          </reference>
        </references>
      </pivotArea>
    </format>
    <format dxfId="254">
      <pivotArea dataOnly="0" labelOnly="1" outline="0" fieldPosition="0">
        <references count="7">
          <reference field="1" count="1" selected="0">
            <x v="29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37"/>
          </reference>
          <reference field="14" count="1" selected="0">
            <x v="2"/>
          </reference>
        </references>
      </pivotArea>
    </format>
    <format dxfId="253">
      <pivotArea dataOnly="0" labelOnly="1" outline="0" fieldPosition="0">
        <references count="7">
          <reference field="1" count="1" selected="0">
            <x v="30"/>
          </reference>
          <reference field="7" count="1" selected="0">
            <x v="16"/>
          </reference>
          <reference field="8" count="1" selected="0">
            <x v="111"/>
          </reference>
          <reference field="11" count="1" selected="0">
            <x v="1"/>
          </reference>
          <reference field="12" count="1" selected="0">
            <x v="0"/>
          </reference>
          <reference field="13" count="1">
            <x v="21"/>
          </reference>
          <reference field="14" count="1" selected="0">
            <x v="2"/>
          </reference>
        </references>
      </pivotArea>
    </format>
    <format dxfId="252">
      <pivotArea dataOnly="0" labelOnly="1" outline="0" fieldPosition="0">
        <references count="7">
          <reference field="1" count="1" selected="0">
            <x v="39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23"/>
          </reference>
          <reference field="14" count="1" selected="0">
            <x v="2"/>
          </reference>
        </references>
      </pivotArea>
    </format>
    <format dxfId="251">
      <pivotArea dataOnly="0" labelOnly="1" outline="0" fieldPosition="0">
        <references count="7">
          <reference field="1" count="1" selected="0">
            <x v="42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28"/>
          </reference>
          <reference field="14" count="1" selected="0">
            <x v="2"/>
          </reference>
        </references>
      </pivotArea>
    </format>
    <format dxfId="250">
      <pivotArea dataOnly="0" labelOnly="1" outline="0" fieldPosition="0">
        <references count="7">
          <reference field="1" count="1" selected="0">
            <x v="43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38"/>
          </reference>
          <reference field="14" count="1" selected="0">
            <x v="2"/>
          </reference>
        </references>
      </pivotArea>
    </format>
    <format dxfId="249">
      <pivotArea dataOnly="0" labelOnly="1" outline="0" fieldPosition="0">
        <references count="7">
          <reference field="1" count="1" selected="0">
            <x v="46"/>
          </reference>
          <reference field="7" count="1" selected="0">
            <x v="16"/>
          </reference>
          <reference field="8" count="1" selected="0">
            <x v="111"/>
          </reference>
          <reference field="11" count="1" selected="0">
            <x v="1"/>
          </reference>
          <reference field="12" count="1" selected="0">
            <x v="0"/>
          </reference>
          <reference field="13" count="1">
            <x v="23"/>
          </reference>
          <reference field="14" count="1" selected="0">
            <x v="2"/>
          </reference>
        </references>
      </pivotArea>
    </format>
    <format dxfId="248">
      <pivotArea dataOnly="0" labelOnly="1" outline="0" fieldPosition="0">
        <references count="7">
          <reference field="1" count="1" selected="0">
            <x v="51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29"/>
          </reference>
          <reference field="14" count="1" selected="0">
            <x v="2"/>
          </reference>
        </references>
      </pivotArea>
    </format>
    <format dxfId="247">
      <pivotArea dataOnly="0" labelOnly="1" outline="0" fieldPosition="0">
        <references count="7">
          <reference field="1" count="1" selected="0">
            <x v="55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32"/>
          </reference>
          <reference field="14" count="1" selected="0">
            <x v="2"/>
          </reference>
        </references>
      </pivotArea>
    </format>
    <format dxfId="246">
      <pivotArea dataOnly="0" labelOnly="1" outline="0" fieldPosition="0">
        <references count="7">
          <reference field="1" count="1" selected="0">
            <x v="56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19"/>
          </reference>
          <reference field="14" count="1" selected="0">
            <x v="2"/>
          </reference>
        </references>
      </pivotArea>
    </format>
    <format dxfId="245">
      <pivotArea dataOnly="0" labelOnly="1" outline="0" fieldPosition="0">
        <references count="7">
          <reference field="1" count="1" selected="0">
            <x v="57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39"/>
          </reference>
          <reference field="14" count="1" selected="0">
            <x v="2"/>
          </reference>
        </references>
      </pivotArea>
    </format>
    <format dxfId="244">
      <pivotArea dataOnly="0" labelOnly="1" outline="0" fieldPosition="0">
        <references count="7">
          <reference field="1" count="1" selected="0">
            <x v="58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25"/>
          </reference>
          <reference field="14" count="1" selected="0">
            <x v="2"/>
          </reference>
        </references>
      </pivotArea>
    </format>
    <format dxfId="243">
      <pivotArea dataOnly="0" labelOnly="1" outline="0" fieldPosition="0">
        <references count="7">
          <reference field="1" count="1" selected="0">
            <x v="65"/>
          </reference>
          <reference field="7" count="1" selected="0">
            <x v="16"/>
          </reference>
          <reference field="8" count="1" selected="0">
            <x v="111"/>
          </reference>
          <reference field="11" count="1" selected="0">
            <x v="1"/>
          </reference>
          <reference field="12" count="1" selected="0">
            <x v="0"/>
          </reference>
          <reference field="13" count="1">
            <x v="26"/>
          </reference>
          <reference field="14" count="1" selected="0">
            <x v="2"/>
          </reference>
        </references>
      </pivotArea>
    </format>
    <format dxfId="242">
      <pivotArea dataOnly="0" labelOnly="1" outline="0" fieldPosition="0">
        <references count="7">
          <reference field="1" count="1" selected="0">
            <x v="66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50"/>
          </reference>
          <reference field="14" count="1" selected="0">
            <x v="2"/>
          </reference>
        </references>
      </pivotArea>
    </format>
    <format dxfId="241">
      <pivotArea dataOnly="0" labelOnly="1" outline="0" fieldPosition="0">
        <references count="7">
          <reference field="1" count="1" selected="0">
            <x v="67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51"/>
          </reference>
          <reference field="14" count="1" selected="0">
            <x v="2"/>
          </reference>
        </references>
      </pivotArea>
    </format>
    <format dxfId="240">
      <pivotArea dataOnly="0" labelOnly="1" outline="0" fieldPosition="0">
        <references count="7">
          <reference field="1" count="1" selected="0">
            <x v="68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52"/>
          </reference>
          <reference field="14" count="1" selected="0">
            <x v="2"/>
          </reference>
        </references>
      </pivotArea>
    </format>
    <format dxfId="239">
      <pivotArea dataOnly="0" labelOnly="1" outline="0" fieldPosition="0">
        <references count="7">
          <reference field="1" count="1" selected="0">
            <x v="69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34"/>
          </reference>
          <reference field="14" count="1" selected="0">
            <x v="2"/>
          </reference>
        </references>
      </pivotArea>
    </format>
    <format dxfId="238">
      <pivotArea dataOnly="0" labelOnly="1" outline="0" fieldPosition="0">
        <references count="7">
          <reference field="1" count="1" selected="0">
            <x v="70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26"/>
          </reference>
          <reference field="14" count="1" selected="0">
            <x v="2"/>
          </reference>
        </references>
      </pivotArea>
    </format>
    <format dxfId="237">
      <pivotArea dataOnly="0" labelOnly="1" outline="0" fieldPosition="0">
        <references count="7">
          <reference field="1" count="1" selected="0">
            <x v="78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30"/>
          </reference>
          <reference field="14" count="1" selected="0">
            <x v="2"/>
          </reference>
        </references>
      </pivotArea>
    </format>
    <format dxfId="236">
      <pivotArea dataOnly="0" labelOnly="1" outline="0" fieldPosition="0">
        <references count="7">
          <reference field="1" count="1" selected="0">
            <x v="80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35"/>
          </reference>
          <reference field="14" count="1" selected="0">
            <x v="2"/>
          </reference>
        </references>
      </pivotArea>
    </format>
    <format dxfId="235">
      <pivotArea dataOnly="0" labelOnly="1" outline="0" fieldPosition="0">
        <references count="7">
          <reference field="1" count="1" selected="0">
            <x v="81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40"/>
          </reference>
          <reference field="14" count="1" selected="0">
            <x v="2"/>
          </reference>
        </references>
      </pivotArea>
    </format>
    <format dxfId="234">
      <pivotArea dataOnly="0" labelOnly="1" outline="0" fieldPosition="0">
        <references count="7">
          <reference field="1" count="1" selected="0">
            <x v="82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27"/>
          </reference>
          <reference field="14" count="1" selected="0">
            <x v="2"/>
          </reference>
        </references>
      </pivotArea>
    </format>
    <format dxfId="233">
      <pivotArea dataOnly="0" labelOnly="1" outline="0" fieldPosition="0">
        <references count="7">
          <reference field="1" count="1" selected="0">
            <x v="233"/>
          </reference>
          <reference field="7" count="1" selected="0">
            <x v="16"/>
          </reference>
          <reference field="8" count="1" selected="0">
            <x v="158"/>
          </reference>
          <reference field="11" count="1" selected="0">
            <x v="24"/>
          </reference>
          <reference field="12" count="1" selected="0">
            <x v="0"/>
          </reference>
          <reference field="13" count="1">
            <x v="106"/>
          </reference>
          <reference field="14" count="1" selected="0">
            <x v="1"/>
          </reference>
        </references>
      </pivotArea>
    </format>
    <format dxfId="232">
      <pivotArea dataOnly="0" labelOnly="1" outline="0" fieldPosition="0">
        <references count="7">
          <reference field="1" count="1" selected="0">
            <x v="47"/>
          </reference>
          <reference field="7" count="1" selected="0">
            <x v="17"/>
          </reference>
          <reference field="8" count="1" selected="0">
            <x v="32"/>
          </reference>
          <reference field="11" count="1" selected="0">
            <x v="142"/>
          </reference>
          <reference field="12" count="1" selected="0">
            <x v="1"/>
          </reference>
          <reference field="13" count="1">
            <x v="68"/>
          </reference>
          <reference field="14" count="1" selected="0">
            <x v="2"/>
          </reference>
        </references>
      </pivotArea>
    </format>
    <format dxfId="231">
      <pivotArea dataOnly="0" labelOnly="1" outline="0" fieldPosition="0">
        <references count="7">
          <reference field="1" count="1" selected="0">
            <x v="48"/>
          </reference>
          <reference field="7" count="1" selected="0">
            <x v="17"/>
          </reference>
          <reference field="8" count="1" selected="0">
            <x v="76"/>
          </reference>
          <reference field="11" count="1" selected="0">
            <x v="149"/>
          </reference>
          <reference field="12" count="1" selected="0">
            <x v="1"/>
          </reference>
          <reference field="13" count="1">
            <x v="71"/>
          </reference>
          <reference field="14" count="1" selected="0">
            <x v="2"/>
          </reference>
        </references>
      </pivotArea>
    </format>
    <format dxfId="230">
      <pivotArea dataOnly="0" labelOnly="1" outline="0" fieldPosition="0">
        <references count="7">
          <reference field="1" count="1" selected="0">
            <x v="93"/>
          </reference>
          <reference field="7" count="1" selected="0">
            <x v="17"/>
          </reference>
          <reference field="8" count="1" selected="0">
            <x v="2"/>
          </reference>
          <reference field="11" count="1" selected="0">
            <x v="92"/>
          </reference>
          <reference field="12" count="1" selected="0">
            <x v="1"/>
          </reference>
          <reference field="13" count="1">
            <x v="31"/>
          </reference>
          <reference field="14" count="1" selected="0">
            <x v="2"/>
          </reference>
        </references>
      </pivotArea>
    </format>
    <format dxfId="229">
      <pivotArea dataOnly="0" labelOnly="1" outline="0" fieldPosition="0">
        <references count="7">
          <reference field="1" count="1" selected="0">
            <x v="94"/>
          </reference>
          <reference field="7" count="1" selected="0">
            <x v="17"/>
          </reference>
          <reference field="8" count="1" selected="0">
            <x v="92"/>
          </reference>
          <reference field="11" count="1" selected="0">
            <x v="113"/>
          </reference>
          <reference field="12" count="1" selected="0">
            <x v="0"/>
          </reference>
          <reference field="13" count="1">
            <x v="208"/>
          </reference>
          <reference field="14" count="1" selected="0">
            <x v="2"/>
          </reference>
        </references>
      </pivotArea>
    </format>
    <format dxfId="228">
      <pivotArea dataOnly="0" labelOnly="1" outline="0" fieldPosition="0">
        <references count="7">
          <reference field="1" count="1" selected="0">
            <x v="99"/>
          </reference>
          <reference field="7" count="1" selected="0">
            <x v="17"/>
          </reference>
          <reference field="8" count="1" selected="0">
            <x v="26"/>
          </reference>
          <reference field="11" count="1" selected="0">
            <x v="151"/>
          </reference>
          <reference field="12" count="1" selected="0">
            <x v="1"/>
          </reference>
          <reference field="13" count="1">
            <x v="93"/>
          </reference>
          <reference field="14" count="1" selected="0">
            <x v="2"/>
          </reference>
        </references>
      </pivotArea>
    </format>
    <format dxfId="227">
      <pivotArea dataOnly="0" labelOnly="1" outline="0" fieldPosition="0">
        <references count="7">
          <reference field="1" count="1" selected="0">
            <x v="118"/>
          </reference>
          <reference field="7" count="1" selected="0">
            <x v="17"/>
          </reference>
          <reference field="8" count="1" selected="0">
            <x v="13"/>
          </reference>
          <reference field="11" count="1" selected="0">
            <x v="150"/>
          </reference>
          <reference field="12" count="1" selected="0">
            <x v="1"/>
          </reference>
          <reference field="13" count="1">
            <x v="79"/>
          </reference>
          <reference field="14" count="1" selected="0">
            <x v="2"/>
          </reference>
        </references>
      </pivotArea>
    </format>
    <format dxfId="226">
      <pivotArea dataOnly="0" labelOnly="1" outline="0" fieldPosition="0">
        <references count="7">
          <reference field="1" count="1" selected="0">
            <x v="128"/>
          </reference>
          <reference field="7" count="1" selected="0">
            <x v="17"/>
          </reference>
          <reference field="8" count="1" selected="0">
            <x v="97"/>
          </reference>
          <reference field="11" count="1" selected="0">
            <x v="133"/>
          </reference>
          <reference field="12" count="1" selected="0">
            <x v="1"/>
          </reference>
          <reference field="13" count="1">
            <x v="209"/>
          </reference>
          <reference field="14" count="1" selected="0">
            <x v="2"/>
          </reference>
        </references>
      </pivotArea>
    </format>
    <format dxfId="225">
      <pivotArea dataOnly="0" labelOnly="1" outline="0" fieldPosition="0">
        <references count="7">
          <reference field="1" count="1" selected="0">
            <x v="133"/>
          </reference>
          <reference field="7" count="1" selected="0">
            <x v="17"/>
          </reference>
          <reference field="8" count="1" selected="0">
            <x v="31"/>
          </reference>
          <reference field="11" count="1" selected="0">
            <x v="121"/>
          </reference>
          <reference field="12" count="1" selected="0">
            <x v="1"/>
          </reference>
          <reference field="13" count="1">
            <x v="155"/>
          </reference>
          <reference field="14" count="1" selected="0">
            <x v="2"/>
          </reference>
        </references>
      </pivotArea>
    </format>
    <format dxfId="224">
      <pivotArea dataOnly="0" labelOnly="1" outline="0" fieldPosition="0">
        <references count="7">
          <reference field="1" count="1" selected="0">
            <x v="152"/>
          </reference>
          <reference field="7" count="1" selected="0">
            <x v="17"/>
          </reference>
          <reference field="8" count="1" selected="0">
            <x v="78"/>
          </reference>
          <reference field="11" count="1" selected="0">
            <x v="134"/>
          </reference>
          <reference field="12" count="1" selected="0">
            <x v="1"/>
          </reference>
          <reference field="13" count="1">
            <x v="75"/>
          </reference>
          <reference field="14" count="1" selected="0">
            <x v="2"/>
          </reference>
        </references>
      </pivotArea>
    </format>
    <format dxfId="223">
      <pivotArea dataOnly="0" labelOnly="1" outline="0" fieldPosition="0">
        <references count="7">
          <reference field="1" count="1" selected="0">
            <x v="153"/>
          </reference>
          <reference field="7" count="1" selected="0">
            <x v="17"/>
          </reference>
          <reference field="8" count="1" selected="0">
            <x v="79"/>
          </reference>
          <reference field="11" count="1" selected="0">
            <x v="109"/>
          </reference>
          <reference field="12" count="1" selected="0">
            <x v="1"/>
          </reference>
          <reference field="13" count="1">
            <x v="74"/>
          </reference>
          <reference field="14" count="1" selected="0">
            <x v="2"/>
          </reference>
        </references>
      </pivotArea>
    </format>
    <format dxfId="222">
      <pivotArea dataOnly="0" labelOnly="1" outline="0" fieldPosition="0">
        <references count="7">
          <reference field="1" count="1" selected="0">
            <x v="154"/>
          </reference>
          <reference field="7" count="1" selected="0">
            <x v="17"/>
          </reference>
          <reference field="8" count="1" selected="0">
            <x v="27"/>
          </reference>
          <reference field="11" count="1" selected="0">
            <x v="124"/>
          </reference>
          <reference field="12" count="1" selected="0">
            <x v="1"/>
          </reference>
          <reference field="13" count="1">
            <x v="72"/>
          </reference>
          <reference field="14" count="1" selected="0">
            <x v="2"/>
          </reference>
        </references>
      </pivotArea>
    </format>
    <format dxfId="221">
      <pivotArea dataOnly="0" labelOnly="1" outline="0" fieldPosition="0">
        <references count="7">
          <reference field="1" count="1" selected="0">
            <x v="158"/>
          </reference>
          <reference field="7" count="1" selected="0">
            <x v="17"/>
          </reference>
          <reference field="8" count="1" selected="0">
            <x v="41"/>
          </reference>
          <reference field="11" count="1" selected="0">
            <x v="96"/>
          </reference>
          <reference field="12" count="1" selected="0">
            <x v="1"/>
          </reference>
          <reference field="13" count="1">
            <x v="199"/>
          </reference>
          <reference field="14" count="1" selected="0">
            <x v="2"/>
          </reference>
        </references>
      </pivotArea>
    </format>
    <format dxfId="220">
      <pivotArea dataOnly="0" labelOnly="1" outline="0" fieldPosition="0">
        <references count="7">
          <reference field="1" count="1" selected="0">
            <x v="161"/>
          </reference>
          <reference field="7" count="1" selected="0">
            <x v="17"/>
          </reference>
          <reference field="8" count="1" selected="0">
            <x v="60"/>
          </reference>
          <reference field="11" count="1" selected="0">
            <x v="18"/>
          </reference>
          <reference field="12" count="1" selected="0">
            <x v="1"/>
          </reference>
          <reference field="13" count="1">
            <x v="80"/>
          </reference>
          <reference field="14" count="1" selected="0">
            <x v="2"/>
          </reference>
        </references>
      </pivotArea>
    </format>
    <format dxfId="219">
      <pivotArea dataOnly="0" labelOnly="1" outline="0" fieldPosition="0">
        <references count="7">
          <reference field="1" count="1" selected="0">
            <x v="174"/>
          </reference>
          <reference field="7" count="1" selected="0">
            <x v="17"/>
          </reference>
          <reference field="8" count="1" selected="0">
            <x v="69"/>
          </reference>
          <reference field="11" count="1" selected="0">
            <x v="105"/>
          </reference>
          <reference field="12" count="1" selected="0">
            <x v="1"/>
          </reference>
          <reference field="13" count="1">
            <x v="210"/>
          </reference>
          <reference field="14" count="1" selected="0">
            <x v="2"/>
          </reference>
        </references>
      </pivotArea>
    </format>
    <format dxfId="218">
      <pivotArea dataOnly="0" labelOnly="1" outline="0" fieldPosition="0">
        <references count="7">
          <reference field="1" count="1" selected="0">
            <x v="189"/>
          </reference>
          <reference field="7" count="1" selected="0">
            <x v="17"/>
          </reference>
          <reference field="8" count="1" selected="0">
            <x v="8"/>
          </reference>
          <reference field="11" count="1" selected="0">
            <x v="159"/>
          </reference>
          <reference field="12" count="1" selected="0">
            <x v="1"/>
          </reference>
          <reference field="13" count="1">
            <x v="69"/>
          </reference>
          <reference field="14" count="1" selected="0">
            <x v="2"/>
          </reference>
        </references>
      </pivotArea>
    </format>
    <format dxfId="217">
      <pivotArea dataOnly="0" labelOnly="1" outline="0" fieldPosition="0">
        <references count="7">
          <reference field="1" count="1" selected="0">
            <x v="205"/>
          </reference>
          <reference field="7" count="1" selected="0">
            <x v="17"/>
          </reference>
          <reference field="8" count="1" selected="0">
            <x v="143"/>
          </reference>
          <reference field="11" count="1" selected="0">
            <x v="127"/>
          </reference>
          <reference field="12" count="1" selected="0">
            <x v="1"/>
          </reference>
          <reference field="13" count="1">
            <x v="201"/>
          </reference>
          <reference field="14" count="1" selected="0">
            <x v="2"/>
          </reference>
        </references>
      </pivotArea>
    </format>
    <format dxfId="216">
      <pivotArea dataOnly="0" labelOnly="1" outline="0" fieldPosition="0">
        <references count="7">
          <reference field="1" count="1" selected="0">
            <x v="206"/>
          </reference>
          <reference field="7" count="1" selected="0">
            <x v="17"/>
          </reference>
          <reference field="8" count="1" selected="0">
            <x v="62"/>
          </reference>
          <reference field="11" count="1" selected="0">
            <x v="15"/>
          </reference>
          <reference field="12" count="1" selected="0">
            <x v="1"/>
          </reference>
          <reference field="13" count="1">
            <x v="76"/>
          </reference>
          <reference field="14" count="1" selected="0">
            <x v="0"/>
          </reference>
        </references>
      </pivotArea>
    </format>
    <format dxfId="215">
      <pivotArea dataOnly="0" labelOnly="1" outline="0" fieldPosition="0">
        <references count="7">
          <reference field="1" count="1" selected="0">
            <x v="207"/>
          </reference>
          <reference field="7" count="1" selected="0">
            <x v="17"/>
          </reference>
          <reference field="8" count="1" selected="0">
            <x v="144"/>
          </reference>
          <reference field="11" count="1" selected="0">
            <x v="79"/>
          </reference>
          <reference field="12" count="1" selected="0">
            <x v="1"/>
          </reference>
          <reference field="13" count="1">
            <x v="78"/>
          </reference>
          <reference field="14" count="1" selected="0">
            <x v="1"/>
          </reference>
        </references>
      </pivotArea>
    </format>
    <format dxfId="214">
      <pivotArea dataOnly="0" labelOnly="1" outline="0" fieldPosition="0">
        <references count="7">
          <reference field="1" count="1" selected="0">
            <x v="211"/>
          </reference>
          <reference field="7" count="1" selected="0">
            <x v="17"/>
          </reference>
          <reference field="8" count="1" selected="0">
            <x v="7"/>
          </reference>
          <reference field="11" count="1" selected="0">
            <x v="36"/>
          </reference>
          <reference field="12" count="1" selected="0">
            <x v="1"/>
          </reference>
          <reference field="13" count="1">
            <x v="211"/>
          </reference>
          <reference field="14" count="1" selected="0">
            <x v="2"/>
          </reference>
        </references>
      </pivotArea>
    </format>
    <format dxfId="213">
      <pivotArea dataOnly="0" labelOnly="1" outline="0" fieldPosition="0">
        <references count="7">
          <reference field="1" count="1" selected="0">
            <x v="214"/>
          </reference>
          <reference field="7" count="1" selected="0">
            <x v="17"/>
          </reference>
          <reference field="8" count="1" selected="0">
            <x v="9"/>
          </reference>
          <reference field="11" count="1" selected="0">
            <x v="60"/>
          </reference>
          <reference field="12" count="1" selected="0">
            <x v="1"/>
          </reference>
          <reference field="13" count="1">
            <x v="223"/>
          </reference>
          <reference field="14" count="1" selected="0">
            <x v="2"/>
          </reference>
        </references>
      </pivotArea>
    </format>
    <format dxfId="212">
      <pivotArea dataOnly="0" labelOnly="1" outline="0" fieldPosition="0">
        <references count="7">
          <reference field="1" count="1" selected="0">
            <x v="222"/>
          </reference>
          <reference field="7" count="1" selected="0">
            <x v="17"/>
          </reference>
          <reference field="8" count="1" selected="0">
            <x v="25"/>
          </reference>
          <reference field="11" count="1" selected="0">
            <x v="156"/>
          </reference>
          <reference field="12" count="1" selected="0">
            <x v="1"/>
          </reference>
          <reference field="13" count="1">
            <x v="188"/>
          </reference>
          <reference field="14" count="1" selected="0">
            <x v="2"/>
          </reference>
        </references>
      </pivotArea>
    </format>
    <format dxfId="211">
      <pivotArea dataOnly="0" labelOnly="1" outline="0" fieldPosition="0">
        <references count="7">
          <reference field="1" count="1" selected="0">
            <x v="230"/>
          </reference>
          <reference field="7" count="1" selected="0">
            <x v="17"/>
          </reference>
          <reference field="8" count="1" selected="0">
            <x v="84"/>
          </reference>
          <reference field="11" count="1" selected="0">
            <x v="93"/>
          </reference>
          <reference field="12" count="1" selected="0">
            <x v="1"/>
          </reference>
          <reference field="13" count="1">
            <x v="81"/>
          </reference>
          <reference field="14" count="1" selected="0">
            <x v="0"/>
          </reference>
        </references>
      </pivotArea>
    </format>
    <format dxfId="210">
      <pivotArea dataOnly="0" labelOnly="1" outline="0" fieldPosition="0">
        <references count="7">
          <reference field="1" count="1" selected="0">
            <x v="237"/>
          </reference>
          <reference field="7" count="1" selected="0">
            <x v="17"/>
          </reference>
          <reference field="8" count="1" selected="0">
            <x v="110"/>
          </reference>
          <reference field="11" count="1" selected="0">
            <x v="154"/>
          </reference>
          <reference field="12" count="1" selected="0">
            <x v="1"/>
          </reference>
          <reference field="13" count="1">
            <x v="177"/>
          </reference>
          <reference field="14" count="1" selected="0">
            <x v="2"/>
          </reference>
        </references>
      </pivotArea>
    </format>
    <format dxfId="209">
      <pivotArea dataOnly="0" labelOnly="1" outline="0" fieldPosition="0">
        <references count="7">
          <reference field="1" count="1" selected="0">
            <x v="250"/>
          </reference>
          <reference field="7" count="1" selected="0">
            <x v="17"/>
          </reference>
          <reference field="8" count="1" selected="0">
            <x v="18"/>
          </reference>
          <reference field="11" count="1" selected="0">
            <x v="86"/>
          </reference>
          <reference field="12" count="1" selected="0">
            <x v="1"/>
          </reference>
          <reference field="13" count="1">
            <x v="222"/>
          </reference>
          <reference field="14" count="1" selected="0">
            <x v="2"/>
          </reference>
        </references>
      </pivotArea>
    </format>
    <format dxfId="208">
      <pivotArea dataOnly="0" labelOnly="1" outline="0" fieldPosition="0">
        <references count="7">
          <reference field="1" count="1" selected="0">
            <x v="259"/>
          </reference>
          <reference field="7" count="1" selected="0">
            <x v="17"/>
          </reference>
          <reference field="8" count="1" selected="0">
            <x v="20"/>
          </reference>
          <reference field="11" count="1" selected="0">
            <x v="93"/>
          </reference>
          <reference field="12" count="1" selected="0">
            <x v="1"/>
          </reference>
          <reference field="13" count="1">
            <x v="144"/>
          </reference>
          <reference field="14" count="1" selected="0">
            <x v="2"/>
          </reference>
        </references>
      </pivotArea>
    </format>
    <format dxfId="207">
      <pivotArea dataOnly="0" labelOnly="1" outline="0" fieldPosition="0">
        <references count="7">
          <reference field="1" count="1" selected="0">
            <x v="264"/>
          </reference>
          <reference field="7" count="1" selected="0">
            <x v="17"/>
          </reference>
          <reference field="8" count="1" selected="0">
            <x v="71"/>
          </reference>
          <reference field="11" count="1" selected="0">
            <x v="101"/>
          </reference>
          <reference field="12" count="1" selected="0">
            <x v="1"/>
          </reference>
          <reference field="13" count="1">
            <x v="77"/>
          </reference>
          <reference field="14" count="1" selected="0">
            <x v="0"/>
          </reference>
        </references>
      </pivotArea>
    </format>
    <format dxfId="206">
      <pivotArea dataOnly="0" labelOnly="1" outline="0" fieldPosition="0">
        <references count="7">
          <reference field="1" count="1" selected="0">
            <x v="269"/>
          </reference>
          <reference field="7" count="1" selected="0">
            <x v="17"/>
          </reference>
          <reference field="8" count="1" selected="0">
            <x v="30"/>
          </reference>
          <reference field="11" count="1" selected="0">
            <x v="123"/>
          </reference>
          <reference field="12" count="1" selected="0">
            <x v="1"/>
          </reference>
          <reference field="13" count="1">
            <x v="87"/>
          </reference>
          <reference field="14" count="1" selected="0">
            <x v="0"/>
          </reference>
        </references>
      </pivotArea>
    </format>
    <format dxfId="205">
      <pivotArea dataOnly="0" labelOnly="1" outline="0" fieldPosition="0">
        <references count="7">
          <reference field="1" count="1" selected="0">
            <x v="270"/>
          </reference>
          <reference field="7" count="1" selected="0">
            <x v="17"/>
          </reference>
          <reference field="8" count="1" selected="0">
            <x v="95"/>
          </reference>
          <reference field="11" count="1" selected="0">
            <x v="82"/>
          </reference>
          <reference field="12" count="1" selected="0">
            <x v="1"/>
          </reference>
          <reference field="13" count="1">
            <x v="179"/>
          </reference>
          <reference field="14" count="1" selected="0">
            <x v="2"/>
          </reference>
        </references>
      </pivotArea>
    </format>
    <format dxfId="204">
      <pivotArea dataOnly="0" labelOnly="1" outline="0" fieldPosition="0">
        <references count="7">
          <reference field="1" count="1" selected="0">
            <x v="271"/>
          </reference>
          <reference field="7" count="1" selected="0">
            <x v="17"/>
          </reference>
          <reference field="8" count="1" selected="0">
            <x v="29"/>
          </reference>
          <reference field="11" count="1" selected="0">
            <x v="132"/>
          </reference>
          <reference field="12" count="1" selected="0">
            <x v="1"/>
          </reference>
          <reference field="13" count="1">
            <x v="166"/>
          </reference>
          <reference field="14" count="1" selected="0">
            <x v="2"/>
          </reference>
        </references>
      </pivotArea>
    </format>
    <format dxfId="203">
      <pivotArea dataOnly="0" labelOnly="1" outline="0" fieldPosition="0">
        <references count="7">
          <reference field="1" count="1" selected="0">
            <x v="76"/>
          </reference>
          <reference field="7" count="1" selected="0">
            <x v="18"/>
          </reference>
          <reference field="8" count="1" selected="0">
            <x v="130"/>
          </reference>
          <reference field="11" count="1" selected="0">
            <x v="52"/>
          </reference>
          <reference field="12" count="1" selected="0">
            <x v="1"/>
          </reference>
          <reference field="13" count="1">
            <x v="57"/>
          </reference>
          <reference field="14" count="1" selected="0">
            <x v="2"/>
          </reference>
        </references>
      </pivotArea>
    </format>
    <format dxfId="202">
      <pivotArea dataOnly="0" labelOnly="1" outline="0" fieldPosition="0">
        <references count="7">
          <reference field="1" count="1" selected="0">
            <x v="77"/>
          </reference>
          <reference field="7" count="1" selected="0">
            <x v="18"/>
          </reference>
          <reference field="8" count="1" selected="0">
            <x v="131"/>
          </reference>
          <reference field="11" count="1" selected="0">
            <x v="62"/>
          </reference>
          <reference field="12" count="1" selected="0">
            <x v="1"/>
          </reference>
          <reference field="13" count="1">
            <x v="55"/>
          </reference>
          <reference field="14" count="1" selected="0">
            <x v="2"/>
          </reference>
        </references>
      </pivotArea>
    </format>
    <format dxfId="201">
      <pivotArea dataOnly="0" labelOnly="1" outline="0" fieldPosition="0">
        <references count="7">
          <reference field="1" count="1" selected="0">
            <x v="85"/>
          </reference>
          <reference field="7" count="1" selected="0">
            <x v="18"/>
          </reference>
          <reference field="8" count="1" selected="0">
            <x v="133"/>
          </reference>
          <reference field="11" count="1" selected="0">
            <x v="91"/>
          </reference>
          <reference field="12" count="1" selected="0">
            <x v="1"/>
          </reference>
          <reference field="13" count="1">
            <x v="53"/>
          </reference>
          <reference field="14" count="1" selected="0">
            <x v="2"/>
          </reference>
        </references>
      </pivotArea>
    </format>
    <format dxfId="200">
      <pivotArea dataOnly="0" labelOnly="1" outline="0" fieldPosition="0">
        <references count="7">
          <reference field="1" count="1" selected="0">
            <x v="90"/>
          </reference>
          <reference field="7" count="1" selected="0">
            <x v="19"/>
          </reference>
          <reference field="8" count="1" selected="0">
            <x v="14"/>
          </reference>
          <reference field="11" count="1" selected="0">
            <x v="0"/>
          </reference>
          <reference field="12" count="1" selected="0">
            <x v="1"/>
          </reference>
          <reference field="13" count="1">
            <x v="67"/>
          </reference>
          <reference field="14" count="1" selected="0">
            <x v="1"/>
          </reference>
        </references>
      </pivotArea>
    </format>
    <format dxfId="199">
      <pivotArea dataOnly="0" labelOnly="1" outline="0" fieldPosition="0">
        <references count="7">
          <reference field="1" count="1" selected="0">
            <x v="156"/>
          </reference>
          <reference field="7" count="1" selected="0">
            <x v="19"/>
          </reference>
          <reference field="8" count="1" selected="0">
            <x v="73"/>
          </reference>
          <reference field="11" count="1" selected="0">
            <x v="0"/>
          </reference>
          <reference field="12" count="1" selected="0">
            <x v="1"/>
          </reference>
          <reference field="13" count="1">
            <x v="65"/>
          </reference>
          <reference field="14" count="1" selected="0">
            <x v="1"/>
          </reference>
        </references>
      </pivotArea>
    </format>
    <format dxfId="198">
      <pivotArea dataOnly="0" labelOnly="1" outline="0" fieldPosition="0">
        <references count="7">
          <reference field="1" count="1" selected="0">
            <x v="193"/>
          </reference>
          <reference field="7" count="1" selected="0">
            <x v="19"/>
          </reference>
          <reference field="8" count="1" selected="0">
            <x v="46"/>
          </reference>
          <reference field="11" count="1" selected="0">
            <x v="0"/>
          </reference>
          <reference field="12" count="1" selected="0">
            <x v="1"/>
          </reference>
          <reference field="13" count="1">
            <x v="66"/>
          </reference>
          <reference field="14" count="1" selected="0">
            <x v="1"/>
          </reference>
        </references>
      </pivotArea>
    </format>
    <format dxfId="197">
      <pivotArea dataOnly="0" labelOnly="1" outline="0" fieldPosition="0">
        <references count="7">
          <reference field="1" count="1" selected="0">
            <x v="210"/>
          </reference>
          <reference field="7" count="1" selected="0">
            <x v="19"/>
          </reference>
          <reference field="8" count="1" selected="0">
            <x v="77"/>
          </reference>
          <reference field="11" count="1" selected="0">
            <x v="0"/>
          </reference>
          <reference field="12" count="1" selected="0">
            <x v="1"/>
          </reference>
          <reference field="13" count="1">
            <x v="70"/>
          </reference>
          <reference field="14" count="1" selected="0">
            <x v="1"/>
          </reference>
        </references>
      </pivotArea>
    </format>
    <format dxfId="196">
      <pivotArea dataOnly="0" labelOnly="1" outline="0" fieldPosition="0">
        <references count="7">
          <reference field="1" count="1" selected="0">
            <x v="242"/>
          </reference>
          <reference field="7" count="1" selected="0">
            <x v="19"/>
          </reference>
          <reference field="8" count="1" selected="0">
            <x v="64"/>
          </reference>
          <reference field="11" count="1" selected="0">
            <x v="0"/>
          </reference>
          <reference field="12" count="1" selected="0">
            <x v="1"/>
          </reference>
          <reference field="13" count="1">
            <x v="64"/>
          </reference>
          <reference field="14" count="1" selected="0">
            <x v="1"/>
          </reference>
        </references>
      </pivotArea>
    </format>
    <format dxfId="195">
      <pivotArea dataOnly="0" labelOnly="1" outline="0" fieldPosition="0">
        <references count="7">
          <reference field="1" count="1" selected="0">
            <x v="41"/>
          </reference>
          <reference field="7" count="1" selected="0">
            <x v="20"/>
          </reference>
          <reference field="8" count="1" selected="0">
            <x v="137"/>
          </reference>
          <reference field="11" count="1" selected="0">
            <x v="89"/>
          </reference>
          <reference field="12" count="1" selected="0">
            <x v="1"/>
          </reference>
          <reference field="13" count="1">
            <x v="48"/>
          </reference>
          <reference field="14" count="1" selected="0">
            <x v="2"/>
          </reference>
        </references>
      </pivotArea>
    </format>
    <format dxfId="194">
      <pivotArea dataOnly="0" labelOnly="1" outline="0" fieldPosition="0">
        <references count="7">
          <reference field="1" count="1" selected="0">
            <x v="50"/>
          </reference>
          <reference field="7" count="1" selected="0">
            <x v="20"/>
          </reference>
          <reference field="8" count="1" selected="0">
            <x v="135"/>
          </reference>
          <reference field="11" count="1" selected="0">
            <x v="106"/>
          </reference>
          <reference field="12" count="1" selected="0">
            <x v="1"/>
          </reference>
          <reference field="13" count="1">
            <x v="37"/>
          </reference>
          <reference field="14" count="1" selected="0">
            <x v="2"/>
          </reference>
        </references>
      </pivotArea>
    </format>
    <format dxfId="193">
      <pivotArea dataOnly="0" labelOnly="1" outline="0" fieldPosition="0">
        <references count="7">
          <reference field="1" count="1" selected="0">
            <x v="194"/>
          </reference>
          <reference field="7" count="1" selected="0">
            <x v="20"/>
          </reference>
          <reference field="8" count="1" selected="0">
            <x v="158"/>
          </reference>
          <reference field="11" count="1" selected="0">
            <x v="162"/>
          </reference>
          <reference field="12" count="1" selected="0">
            <x v="1"/>
          </reference>
          <reference field="13" count="1">
            <x v="12"/>
          </reference>
          <reference field="14" count="1" selected="0">
            <x v="2"/>
          </reference>
        </references>
      </pivotArea>
    </format>
    <format dxfId="192">
      <pivotArea dataOnly="0" labelOnly="1" outline="0" fieldPosition="0">
        <references count="7">
          <reference field="1" count="1" selected="0">
            <x v="241"/>
          </reference>
          <reference field="7" count="1" selected="0">
            <x v="20"/>
          </reference>
          <reference field="8" count="1" selected="0">
            <x v="158"/>
          </reference>
          <reference field="11" count="1" selected="0">
            <x v="163"/>
          </reference>
          <reference field="12" count="1" selected="0">
            <x v="1"/>
          </reference>
          <reference field="13" count="1">
            <x v="242"/>
          </reference>
          <reference field="14" count="1" selected="0">
            <x v="2"/>
          </reference>
        </references>
      </pivotArea>
    </format>
    <format dxfId="191">
      <pivotArea dataOnly="0" labelOnly="1" outline="0" fieldPosition="0">
        <references count="7">
          <reference field="1" count="1" selected="0">
            <x v="272"/>
          </reference>
          <reference field="7" count="1" selected="0">
            <x v="20"/>
          </reference>
          <reference field="8" count="1" selected="0">
            <x v="55"/>
          </reference>
          <reference field="11" count="1" selected="0">
            <x v="46"/>
          </reference>
          <reference field="12" count="1" selected="0">
            <x v="1"/>
          </reference>
          <reference field="13" count="1">
            <x v="9"/>
          </reference>
          <reference field="14" count="1" selected="0">
            <x v="2"/>
          </reference>
        </references>
      </pivotArea>
    </format>
    <format dxfId="190">
      <pivotArea dataOnly="0" labelOnly="1" outline="0" fieldPosition="0">
        <references count="7">
          <reference field="1" count="1" selected="0">
            <x v="273"/>
          </reference>
          <reference field="7" count="1" selected="0">
            <x v="20"/>
          </reference>
          <reference field="8" count="1" selected="0">
            <x v="158"/>
          </reference>
          <reference field="11" count="1" selected="0">
            <x v="42"/>
          </reference>
          <reference field="12" count="1" selected="0">
            <x v="1"/>
          </reference>
          <reference field="13" count="1">
            <x v="10"/>
          </reference>
          <reference field="14" count="1" selected="0">
            <x v="2"/>
          </reference>
        </references>
      </pivotArea>
    </format>
    <format dxfId="189">
      <pivotArea dataOnly="0" labelOnly="1" outline="0" fieldPosition="0">
        <references count="7">
          <reference field="1" count="1" selected="0">
            <x v="125"/>
          </reference>
          <reference field="7" count="1" selected="0">
            <x v="21"/>
          </reference>
          <reference field="8" count="1" selected="0">
            <x v="158"/>
          </reference>
          <reference field="11" count="1" selected="0">
            <x v="0"/>
          </reference>
          <reference field="12" count="1" selected="0">
            <x v="0"/>
          </reference>
          <reference field="13" count="1">
            <x v="96"/>
          </reference>
          <reference field="14" count="1" selected="0">
            <x v="2"/>
          </reference>
        </references>
      </pivotArea>
    </format>
    <format dxfId="188">
      <pivotArea dataOnly="0" labelOnly="1" outline="0" fieldPosition="0">
        <references count="7">
          <reference field="1" count="1" selected="0">
            <x v="160"/>
          </reference>
          <reference field="7" count="1" selected="0">
            <x v="21"/>
          </reference>
          <reference field="8" count="1" selected="0">
            <x v="4"/>
          </reference>
          <reference field="11" count="1" selected="0">
            <x v="29"/>
          </reference>
          <reference field="12" count="1" selected="0">
            <x v="0"/>
          </reference>
          <reference field="13" count="1">
            <x v="192"/>
          </reference>
          <reference field="14" count="1" selected="0">
            <x v="2"/>
          </reference>
        </references>
      </pivotArea>
    </format>
    <format dxfId="187">
      <pivotArea dataOnly="0" labelOnly="1" outline="0" fieldPosition="0">
        <references count="7">
          <reference field="1" count="1" selected="0">
            <x v="163"/>
          </reference>
          <reference field="7" count="1" selected="0">
            <x v="21"/>
          </reference>
          <reference field="8" count="1" selected="0">
            <x v="66"/>
          </reference>
          <reference field="11" count="1" selected="0">
            <x v="67"/>
          </reference>
          <reference field="12" count="1" selected="0">
            <x v="0"/>
          </reference>
          <reference field="13" count="1">
            <x v="99"/>
          </reference>
          <reference field="14" count="1" selected="0">
            <x v="2"/>
          </reference>
        </references>
      </pivotArea>
    </format>
    <format dxfId="186">
      <pivotArea dataOnly="0" labelOnly="1" outline="0" fieldPosition="0">
        <references count="7">
          <reference field="1" count="1" selected="0">
            <x v="228"/>
          </reference>
          <reference field="7" count="1" selected="0">
            <x v="21"/>
          </reference>
          <reference field="8" count="1" selected="0">
            <x v="5"/>
          </reference>
          <reference field="11" count="1" selected="0">
            <x v="0"/>
          </reference>
          <reference field="12" count="1" selected="0">
            <x v="0"/>
          </reference>
          <reference field="13" count="1">
            <x v="190"/>
          </reference>
          <reference field="14" count="1" selected="0">
            <x v="2"/>
          </reference>
        </references>
      </pivotArea>
    </format>
    <format dxfId="185">
      <pivotArea dataOnly="0" labelOnly="1" outline="0" fieldPosition="0">
        <references count="7">
          <reference field="1" count="1" selected="0">
            <x v="229"/>
          </reference>
          <reference field="7" count="1" selected="0">
            <x v="21"/>
          </reference>
          <reference field="8" count="1" selected="0">
            <x v="5"/>
          </reference>
          <reference field="11" count="1" selected="0">
            <x v="4"/>
          </reference>
          <reference field="12" count="1" selected="0">
            <x v="0"/>
          </reference>
          <reference field="13" count="1">
            <x v="191"/>
          </reference>
          <reference field="14" count="1" selected="0">
            <x v="2"/>
          </reference>
        </references>
      </pivotArea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DCFDBF-459C-4640-B9E9-39F1D8A663DF}" name="PivotOltronics" cacheId="3" applyNumberFormats="0" applyBorderFormats="0" applyFontFormats="0" applyPatternFormats="0" applyAlignmentFormats="0" applyWidthHeightFormats="1" dataCaption="Values" updatedVersion="8" minRefreshableVersion="3" showDrill="0" showDataTips="0" useAutoFormatting="1" pageOverThenDown="1" rowGrandTotals="0" colGrandTotals="0" itemPrintTitles="1" createdVersion="8" indent="0" compact="0" compactData="0" multipleFieldFilters="0" fieldListSortAscending="1">
  <location ref="A2:F113" firstHeaderRow="1" firstDataRow="1" firstDataCol="6"/>
  <pivotFields count="11">
    <pivotField axis="axisRow" compact="0" outline="0" showAll="0" defaultSubtotal="0">
      <items count="111">
        <item x="36"/>
        <item x="7"/>
        <item x="97"/>
        <item m="1" x="110"/>
        <item x="102"/>
        <item x="98"/>
        <item x="48"/>
        <item x="49"/>
        <item x="33"/>
        <item x="34"/>
        <item x="35"/>
        <item x="32"/>
        <item x="0"/>
        <item x="52"/>
        <item x="38"/>
        <item x="88"/>
        <item x="26"/>
        <item x="18"/>
        <item x="19"/>
        <item x="37"/>
        <item x="70"/>
        <item x="69"/>
        <item x="93"/>
        <item x="54"/>
        <item x="15"/>
        <item x="77"/>
        <item x="27"/>
        <item x="50"/>
        <item x="44"/>
        <item x="89"/>
        <item x="91"/>
        <item x="10"/>
        <item x="30"/>
        <item x="3"/>
        <item x="39"/>
        <item x="40"/>
        <item x="8"/>
        <item x="63"/>
        <item x="64"/>
        <item x="1"/>
        <item x="45"/>
        <item x="17"/>
        <item x="21"/>
        <item x="101"/>
        <item x="71"/>
        <item x="24"/>
        <item x="11"/>
        <item x="12"/>
        <item x="60"/>
        <item x="61"/>
        <item x="62"/>
        <item x="29"/>
        <item x="46"/>
        <item x="59"/>
        <item x="13"/>
        <item x="47"/>
        <item x="65"/>
        <item x="57"/>
        <item x="67"/>
        <item x="66"/>
        <item x="14"/>
        <item x="95"/>
        <item x="96"/>
        <item x="25"/>
        <item x="68"/>
        <item x="22"/>
        <item x="76"/>
        <item x="23"/>
        <item x="72"/>
        <item x="73"/>
        <item x="74"/>
        <item x="4"/>
        <item x="75"/>
        <item x="41"/>
        <item x="20"/>
        <item x="16"/>
        <item x="31"/>
        <item x="79"/>
        <item x="81"/>
        <item x="80"/>
        <item x="82"/>
        <item x="99"/>
        <item x="42"/>
        <item x="9"/>
        <item x="51"/>
        <item x="100"/>
        <item x="56"/>
        <item x="55"/>
        <item x="103"/>
        <item x="84"/>
        <item x="83"/>
        <item x="28"/>
        <item x="85"/>
        <item x="5"/>
        <item x="43"/>
        <item x="6"/>
        <item x="53"/>
        <item x="2"/>
        <item x="94"/>
        <item x="78"/>
        <item x="87"/>
        <item x="86"/>
        <item x="90"/>
        <item x="92"/>
        <item x="58"/>
        <item x="104"/>
        <item x="105"/>
        <item x="106"/>
        <item x="107"/>
        <item x="108"/>
        <item x="109"/>
      </items>
    </pivotField>
    <pivotField compact="0" outline="0" subtotalTop="0" showAll="0" defaultSubtotal="0"/>
    <pivotField axis="axisRow" compact="0" outline="0" showAll="0" defaultSubtotal="0">
      <items count="87">
        <item x="56"/>
        <item x="59"/>
        <item x="49"/>
        <item x="13"/>
        <item x="54"/>
        <item x="22"/>
        <item x="47"/>
        <item x="70"/>
        <item x="68"/>
        <item x="69"/>
        <item x="75"/>
        <item x="28"/>
        <item x="11"/>
        <item x="55"/>
        <item x="7"/>
        <item x="19"/>
        <item x="74"/>
        <item x="31"/>
        <item x="23"/>
        <item x="82"/>
        <item x="72"/>
        <item x="15"/>
        <item x="18"/>
        <item x="29"/>
        <item x="50"/>
        <item x="46"/>
        <item x="60"/>
        <item x="12"/>
        <item x="45"/>
        <item x="14"/>
        <item x="65"/>
        <item x="80"/>
        <item x="64"/>
        <item x="5"/>
        <item x="57"/>
        <item x="43"/>
        <item x="37"/>
        <item x="79"/>
        <item x="30"/>
        <item x="61"/>
        <item x="6"/>
        <item x="52"/>
        <item x="73"/>
        <item x="20"/>
        <item x="21"/>
        <item x="86"/>
        <item x="51"/>
        <item x="77"/>
        <item x="26"/>
        <item x="2"/>
        <item x="8"/>
        <item x="71"/>
        <item x="17"/>
        <item x="33"/>
        <item x="76"/>
        <item x="78"/>
        <item x="1"/>
        <item x="63"/>
        <item x="67"/>
        <item x="32"/>
        <item x="48"/>
        <item x="4"/>
        <item x="25"/>
        <item x="3"/>
        <item x="81"/>
        <item x="27"/>
        <item x="44"/>
        <item x="58"/>
        <item x="41"/>
        <item x="39"/>
        <item x="38"/>
        <item x="36"/>
        <item x="62"/>
        <item x="35"/>
        <item x="66"/>
        <item x="24"/>
        <item x="16"/>
        <item x="53"/>
        <item x="10"/>
        <item x="40"/>
        <item x="9"/>
        <item x="0"/>
        <item x="34"/>
        <item x="42"/>
        <item x="84"/>
        <item x="83"/>
        <item x="85"/>
      </items>
    </pivotField>
    <pivotField compact="0" outline="0" showAll="0" defaultSubtotal="0"/>
    <pivotField axis="axisRow" compact="0" outline="0" showAll="0" defaultSubtotal="0">
      <items count="8">
        <item x="6"/>
        <item x="2"/>
        <item x="0"/>
        <item x="5"/>
        <item x="1"/>
        <item x="3"/>
        <item x="4"/>
        <item x="7"/>
      </items>
    </pivotField>
    <pivotField axis="axisRow" compact="0" outline="0" showAll="0" defaultSubtotal="0">
      <items count="34">
        <item x="7"/>
        <item x="23"/>
        <item x="26"/>
        <item x="21"/>
        <item x="5"/>
        <item x="17"/>
        <item x="0"/>
        <item x="22"/>
        <item x="11"/>
        <item x="8"/>
        <item x="15"/>
        <item x="29"/>
        <item x="9"/>
        <item x="6"/>
        <item x="27"/>
        <item x="14"/>
        <item x="16"/>
        <item x="25"/>
        <item x="4"/>
        <item x="1"/>
        <item x="24"/>
        <item x="19"/>
        <item x="13"/>
        <item x="20"/>
        <item x="12"/>
        <item x="3"/>
        <item x="10"/>
        <item x="18"/>
        <item x="28"/>
        <item x="30"/>
        <item x="2"/>
        <item x="31"/>
        <item x="32"/>
        <item x="33"/>
      </items>
    </pivotField>
    <pivotField axis="axisRow" compact="0" outline="0" showAll="0" defaultSubtotal="0">
      <items count="112">
        <item x="0"/>
        <item x="7"/>
        <item x="8"/>
        <item x="9"/>
        <item x="10"/>
        <item x="51"/>
        <item x="52"/>
        <item x="53"/>
        <item x="54"/>
        <item x="55"/>
        <item x="56"/>
        <item x="57"/>
        <item x="58"/>
        <item x="11"/>
        <item x="59"/>
        <item x="60"/>
        <item x="61"/>
        <item x="62"/>
        <item x="63"/>
        <item x="64"/>
        <item x="65"/>
        <item x="66"/>
        <item x="67"/>
        <item x="68"/>
        <item x="12"/>
        <item x="69"/>
        <item x="70"/>
        <item x="71"/>
        <item x="72"/>
        <item x="73"/>
        <item x="74"/>
        <item x="75"/>
        <item x="76"/>
        <item x="77"/>
        <item x="78"/>
        <item x="13"/>
        <item x="79"/>
        <item x="80"/>
        <item x="81"/>
        <item x="82"/>
        <item x="83"/>
        <item x="84"/>
        <item x="85"/>
        <item x="86"/>
        <item x="87"/>
        <item x="88"/>
        <item x="14"/>
        <item x="89"/>
        <item x="90"/>
        <item x="91"/>
        <item x="92"/>
        <item x="93"/>
        <item x="94"/>
        <item x="95"/>
        <item x="96"/>
        <item x="15"/>
        <item x="97"/>
        <item x="98"/>
        <item x="99"/>
        <item x="100"/>
        <item x="101"/>
        <item x="102"/>
        <item x="103"/>
        <item x="16"/>
        <item x="1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2"/>
        <item x="36"/>
        <item x="37"/>
        <item x="38"/>
        <item x="39"/>
        <item x="40"/>
        <item x="41"/>
        <item x="42"/>
        <item x="43"/>
        <item x="44"/>
        <item x="45"/>
        <item x="3"/>
        <item x="46"/>
        <item x="47"/>
        <item x="48"/>
        <item x="49"/>
        <item x="50"/>
        <item x="4"/>
        <item x="5"/>
        <item x="6"/>
        <item m="1" x="111"/>
        <item x="105"/>
        <item x="106"/>
        <item x="104"/>
        <item x="107"/>
        <item x="108"/>
        <item x="109"/>
        <item x="110"/>
      </items>
    </pivotField>
    <pivotField axis="axisRow" compact="0" outline="0" showAll="0" defaultSubtotal="0">
      <items count="4">
        <item x="3"/>
        <item x="2"/>
        <item x="1"/>
        <item x="0"/>
      </items>
    </pivotField>
    <pivotField compact="0" outline="0" showAll="0" defaultSubtotal="0">
      <items count="1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</items>
    </pivotField>
    <pivotField compact="0" outline="0" showAll="0" defaultSubtotal="0"/>
    <pivotField compact="0" outline="0" showAll="0" defaultSubtotal="0"/>
  </pivotFields>
  <rowFields count="6">
    <field x="4"/>
    <field x="0"/>
    <field x="5"/>
    <field x="2"/>
    <field x="7"/>
    <field x="6"/>
  </rowFields>
  <rowItems count="111">
    <i>
      <x/>
      <x v="1"/>
      <x v="13"/>
      <x v="14"/>
      <x v="2"/>
      <x v="1"/>
    </i>
    <i r="1">
      <x v="23"/>
      <x v="30"/>
      <x v="2"/>
      <x v="2"/>
      <x v="8"/>
    </i>
    <i r="1">
      <x v="24"/>
      <x v="8"/>
      <x v="21"/>
      <x v="2"/>
      <x v="55"/>
    </i>
    <i r="1">
      <x v="37"/>
      <x v="30"/>
      <x/>
      <x v="3"/>
      <x v="18"/>
    </i>
    <i r="1">
      <x v="46"/>
      <x v="30"/>
      <x v="12"/>
      <x v="3"/>
      <x v="13"/>
    </i>
    <i r="1">
      <x v="47"/>
      <x v="12"/>
      <x v="27"/>
      <x v="3"/>
      <x v="24"/>
    </i>
    <i r="1">
      <x v="58"/>
      <x v="30"/>
      <x v="1"/>
      <x v="2"/>
      <x v="23"/>
    </i>
    <i r="1">
      <x v="59"/>
      <x v="30"/>
      <x/>
      <x v="2"/>
      <x v="22"/>
    </i>
    <i r="1">
      <x v="68"/>
      <x v="30"/>
      <x v="3"/>
      <x v="2"/>
      <x v="29"/>
    </i>
    <i r="1">
      <x v="70"/>
      <x v="30"/>
      <x/>
      <x v="2"/>
      <x v="31"/>
    </i>
    <i r="1">
      <x v="72"/>
      <x v="30"/>
      <x v="30"/>
      <x v="3"/>
      <x v="32"/>
    </i>
    <i r="1">
      <x v="88"/>
      <x v="30"/>
      <x v="45"/>
      <x v="2"/>
      <x v="107"/>
    </i>
    <i r="1">
      <x v="91"/>
      <x v="30"/>
      <x v="11"/>
      <x v="2"/>
      <x v="76"/>
    </i>
    <i r="1">
      <x v="92"/>
      <x v="30"/>
      <x v="16"/>
      <x v="2"/>
      <x v="43"/>
    </i>
    <i r="1">
      <x v="101"/>
      <x v="30"/>
      <x v="5"/>
      <x v="3"/>
      <x v="44"/>
    </i>
    <i r="1">
      <x v="107"/>
      <x v="31"/>
      <x v="86"/>
      <x v="3"/>
      <x v="108"/>
    </i>
    <i>
      <x v="1"/>
      <x v="11"/>
      <x v="30"/>
      <x v="15"/>
      <x v="2"/>
      <x v="80"/>
    </i>
    <i r="1">
      <x v="17"/>
      <x v="30"/>
      <x v="22"/>
      <x v="3"/>
      <x v="66"/>
    </i>
    <i r="1">
      <x v="18"/>
      <x v="30"/>
      <x v="15"/>
      <x v="3"/>
      <x v="67"/>
    </i>
    <i r="1">
      <x v="22"/>
      <x v="30"/>
      <x v="31"/>
      <x v="2"/>
      <x v="52"/>
    </i>
    <i r="1">
      <x v="40"/>
      <x v="30"/>
      <x v="35"/>
      <x v="2"/>
      <x v="94"/>
    </i>
    <i r="1">
      <x v="48"/>
      <x v="30"/>
      <x v="13"/>
      <x v="3"/>
      <x v="15"/>
    </i>
    <i r="1">
      <x v="49"/>
      <x v="30"/>
      <x v="13"/>
      <x v="3"/>
      <x v="16"/>
    </i>
    <i r="1">
      <x v="50"/>
      <x v="30"/>
      <x v="13"/>
      <x v="2"/>
      <x v="17"/>
    </i>
    <i r="1">
      <x v="51"/>
      <x v="30"/>
      <x v="23"/>
      <x v="2"/>
      <x v="77"/>
    </i>
    <i r="1">
      <x v="52"/>
      <x v="30"/>
      <x v="3"/>
      <x v="2"/>
      <x v="96"/>
    </i>
    <i r="1">
      <x v="53"/>
      <x v="30"/>
      <x v="4"/>
      <x v="2"/>
      <x v="14"/>
    </i>
    <i r="1">
      <x v="54"/>
      <x v="30"/>
      <x v="3"/>
      <x v="2"/>
      <x v="35"/>
    </i>
    <i r="1">
      <x v="55"/>
      <x v="30"/>
      <x v="3"/>
      <x v="2"/>
      <x v="97"/>
    </i>
    <i r="1">
      <x v="61"/>
      <x v="30"/>
      <x v="19"/>
      <x v="2"/>
      <x v="54"/>
    </i>
    <i r="1">
      <x v="62"/>
      <x v="30"/>
      <x v="19"/>
      <x v="3"/>
      <x v="56"/>
    </i>
    <i r="1">
      <x v="65"/>
      <x v="22"/>
      <x v="5"/>
      <x v="2"/>
      <x v="70"/>
    </i>
    <i r="1">
      <x v="69"/>
      <x v="30"/>
      <x v="32"/>
      <x v="3"/>
      <x v="30"/>
    </i>
    <i r="1">
      <x v="84"/>
      <x v="30"/>
      <x v="6"/>
      <x v="2"/>
      <x v="5"/>
    </i>
    <i r="1">
      <x v="86"/>
      <x v="30"/>
      <x v="46"/>
      <x v="2"/>
      <x v="10"/>
    </i>
    <i r="1">
      <x v="87"/>
      <x v="30"/>
      <x v="24"/>
      <x v="2"/>
      <x v="9"/>
    </i>
    <i r="1">
      <x v="90"/>
      <x v="30"/>
      <x v="20"/>
      <x v="3"/>
      <x v="41"/>
    </i>
    <i r="1">
      <x v="96"/>
      <x v="30"/>
      <x v="49"/>
      <x v="3"/>
      <x v="7"/>
    </i>
    <i r="1">
      <x v="97"/>
      <x v="30"/>
      <x v="49"/>
      <x v="2"/>
      <x v="84"/>
    </i>
    <i>
      <x v="2"/>
      <x v="12"/>
      <x v="6"/>
      <x v="81"/>
      <x v="3"/>
      <x/>
    </i>
    <i r="1">
      <x v="13"/>
      <x v="7"/>
      <x v="60"/>
      <x/>
      <x v="6"/>
    </i>
    <i r="1">
      <x v="14"/>
      <x v="5"/>
      <x v="71"/>
      <x v="2"/>
      <x v="87"/>
    </i>
    <i>
      <x v="3"/>
      <x v="19"/>
      <x v="16"/>
      <x v="73"/>
      <x v="2"/>
      <x v="86"/>
    </i>
    <i r="1">
      <x v="20"/>
      <x v="17"/>
      <x v="72"/>
      <x v="2"/>
      <x v="27"/>
    </i>
    <i r="1">
      <x v="64"/>
      <x v="30"/>
      <x v="26"/>
      <x v="3"/>
      <x v="25"/>
    </i>
    <i r="1">
      <x v="94"/>
      <x v="3"/>
      <x v="68"/>
      <x v="1"/>
      <x v="92"/>
    </i>
    <i r="1">
      <x v="95"/>
      <x v="4"/>
      <x v="40"/>
      <x v="3"/>
      <x v="103"/>
    </i>
    <i r="1">
      <x v="99"/>
      <x v="30"/>
      <x v="58"/>
      <x v="2"/>
      <x v="36"/>
    </i>
    <i r="1">
      <x v="103"/>
      <x v="14"/>
      <x v="46"/>
      <x v="3"/>
      <x v="51"/>
    </i>
    <i>
      <x v="4"/>
      <x v="2"/>
      <x v="28"/>
      <x v="85"/>
      <x v="2"/>
      <x v="57"/>
    </i>
    <i r="1">
      <x v="15"/>
      <x v="30"/>
      <x v="54"/>
      <x v="3"/>
      <x v="47"/>
    </i>
    <i r="1">
      <x v="16"/>
      <x v="30"/>
      <x v="48"/>
      <x v="2"/>
      <x v="74"/>
    </i>
    <i r="1">
      <x v="28"/>
      <x v="30"/>
      <x v="83"/>
      <x v="2"/>
      <x v="93"/>
    </i>
    <i r="1">
      <x v="29"/>
      <x v="30"/>
      <x v="47"/>
      <x v="3"/>
      <x v="48"/>
    </i>
    <i r="1">
      <x v="30"/>
      <x v="30"/>
      <x v="37"/>
      <x v="1"/>
      <x v="50"/>
    </i>
    <i r="1">
      <x v="38"/>
      <x v="30"/>
      <x v="34"/>
      <x v="2"/>
      <x v="19"/>
    </i>
    <i r="5">
      <x v="20"/>
    </i>
    <i r="1">
      <x v="39"/>
      <x v="19"/>
      <x v="56"/>
      <x v="3"/>
      <x v="64"/>
    </i>
    <i r="1">
      <x v="41"/>
      <x v="30"/>
      <x v="52"/>
      <x v="2"/>
      <x v="65"/>
    </i>
    <i r="1">
      <x v="44"/>
      <x v="30"/>
      <x v="57"/>
      <x v="2"/>
      <x v="28"/>
    </i>
    <i r="1">
      <x v="56"/>
      <x v="30"/>
      <x v="67"/>
      <x v="1"/>
      <x v="21"/>
    </i>
    <i r="1">
      <x v="57"/>
      <x v="30"/>
      <x v="41"/>
      <x v="2"/>
      <x v="11"/>
    </i>
    <i r="1">
      <x v="63"/>
      <x v="15"/>
      <x v="62"/>
      <x v="2"/>
      <x v="73"/>
    </i>
    <i r="1">
      <x v="73"/>
      <x v="21"/>
      <x v="69"/>
      <x v="3"/>
      <x v="90"/>
    </i>
    <i r="1">
      <x v="74"/>
      <x v="24"/>
      <x v="43"/>
      <x v="2"/>
      <x v="68"/>
    </i>
    <i r="1">
      <x v="80"/>
      <x v="2"/>
      <x v="51"/>
      <x v="2"/>
      <x v="40"/>
    </i>
    <i r="1">
      <x v="81"/>
      <x v="11"/>
      <x v="51"/>
      <x v="2"/>
      <x v="59"/>
    </i>
    <i r="1">
      <x v="82"/>
      <x v="23"/>
      <x v="79"/>
      <x/>
      <x v="91"/>
    </i>
    <i r="1">
      <x v="83"/>
      <x/>
      <x v="80"/>
      <x v="3"/>
      <x v="3"/>
    </i>
    <i r="1">
      <x v="89"/>
      <x v="30"/>
      <x v="42"/>
      <x v="2"/>
      <x v="42"/>
    </i>
    <i r="1">
      <x v="98"/>
      <x v="30"/>
      <x v="64"/>
      <x v="3"/>
      <x v="53"/>
    </i>
    <i r="1">
      <x v="102"/>
      <x v="30"/>
      <x v="55"/>
      <x v="3"/>
      <x v="49"/>
    </i>
    <i r="1">
      <x v="104"/>
      <x v="1"/>
      <x v="77"/>
      <x/>
      <x v="12"/>
    </i>
    <i r="1">
      <x v="108"/>
      <x v="32"/>
      <x v="86"/>
      <x v="1"/>
      <x v="109"/>
    </i>
    <i r="1">
      <x v="109"/>
      <x v="30"/>
      <x v="86"/>
      <x v="1"/>
      <x v="110"/>
    </i>
    <i r="1">
      <x v="110"/>
      <x v="33"/>
      <x v="86"/>
      <x v="1"/>
      <x v="111"/>
    </i>
    <i>
      <x v="5"/>
      <x/>
      <x v="30"/>
      <x v="82"/>
      <x v="2"/>
      <x v="85"/>
    </i>
    <i r="1">
      <x v="5"/>
      <x v="30"/>
      <x v="84"/>
      <x v="2"/>
      <x v="58"/>
    </i>
    <i r="1">
      <x v="6"/>
      <x v="30"/>
      <x v="66"/>
      <x v="2"/>
      <x v="98"/>
    </i>
    <i r="1">
      <x v="7"/>
      <x v="30"/>
      <x v="28"/>
      <x v="2"/>
      <x v="99"/>
    </i>
    <i r="1">
      <x v="8"/>
      <x v="30"/>
      <x v="59"/>
      <x v="3"/>
      <x v="81"/>
    </i>
    <i r="1">
      <x v="9"/>
      <x v="30"/>
      <x v="40"/>
      <x v="3"/>
      <x v="82"/>
    </i>
    <i r="1">
      <x v="10"/>
      <x v="30"/>
      <x v="53"/>
      <x v="3"/>
      <x v="83"/>
    </i>
    <i r="1">
      <x v="21"/>
      <x v="20"/>
      <x v="39"/>
      <x v="3"/>
      <x v="26"/>
    </i>
    <i r="1">
      <x v="27"/>
      <x v="30"/>
      <x v="25"/>
      <x v="2"/>
      <x v="100"/>
    </i>
    <i r="1">
      <x v="31"/>
      <x v="9"/>
      <x v="78"/>
      <x v="2"/>
      <x v="4"/>
    </i>
    <i r="1">
      <x v="32"/>
      <x v="10"/>
      <x v="38"/>
      <x v="2"/>
      <x v="78"/>
    </i>
    <i r="1">
      <x v="33"/>
      <x v="30"/>
      <x v="63"/>
      <x v="1"/>
      <x v="95"/>
    </i>
    <i r="1">
      <x v="34"/>
      <x v="30"/>
      <x v="36"/>
      <x v="1"/>
      <x v="88"/>
    </i>
    <i r="1">
      <x v="35"/>
      <x v="27"/>
      <x v="70"/>
      <x v="1"/>
      <x v="89"/>
    </i>
    <i r="1">
      <x v="36"/>
      <x v="30"/>
      <x v="50"/>
      <x v="3"/>
      <x v="2"/>
    </i>
    <i r="1">
      <x v="100"/>
      <x v="30"/>
      <x v="10"/>
      <x v="3"/>
      <x v="45"/>
    </i>
    <i r="1">
      <x v="105"/>
      <x v="30"/>
      <x v="86"/>
      <x v="2"/>
      <x v="105"/>
    </i>
    <i>
      <x v="6"/>
      <x v="25"/>
      <x v="30"/>
      <x v="74"/>
      <x v="3"/>
      <x v="34"/>
    </i>
    <i r="1">
      <x v="26"/>
      <x v="30"/>
      <x v="65"/>
      <x v="3"/>
      <x v="75"/>
    </i>
    <i r="1">
      <x v="42"/>
      <x v="30"/>
      <x v="44"/>
      <x v="3"/>
      <x v="69"/>
    </i>
    <i r="1">
      <x v="45"/>
      <x v="30"/>
      <x v="75"/>
      <x v="3"/>
      <x v="72"/>
    </i>
    <i r="1">
      <x v="60"/>
      <x v="26"/>
      <x v="29"/>
      <x/>
      <x v="46"/>
    </i>
    <i r="1">
      <x v="66"/>
      <x v="30"/>
      <x v="30"/>
      <x v="3"/>
      <x v="33"/>
    </i>
    <i r="1">
      <x v="67"/>
      <x v="30"/>
      <x v="18"/>
      <x v="2"/>
      <x v="71"/>
    </i>
    <i r="1">
      <x v="71"/>
      <x v="25"/>
      <x v="61"/>
      <x v="1"/>
      <x v="101"/>
    </i>
    <i r="1">
      <x v="75"/>
      <x v="30"/>
      <x v="76"/>
      <x v="2"/>
      <x v="63"/>
    </i>
    <i r="1">
      <x v="93"/>
      <x v="18"/>
      <x v="33"/>
      <x v="3"/>
      <x v="102"/>
    </i>
    <i>
      <x v="7"/>
      <x v="4"/>
      <x v="30"/>
      <x v="86"/>
      <x v="3"/>
      <x v="62"/>
    </i>
    <i r="1">
      <x v="43"/>
      <x v="29"/>
      <x v="31"/>
      <x v="2"/>
      <x v="61"/>
    </i>
    <i r="1">
      <x v="76"/>
      <x v="30"/>
      <x v="17"/>
      <x v="3"/>
      <x v="79"/>
    </i>
    <i r="1">
      <x v="77"/>
      <x v="30"/>
      <x v="8"/>
      <x v="2"/>
      <x v="37"/>
    </i>
    <i r="1">
      <x v="78"/>
      <x v="30"/>
      <x v="7"/>
      <x/>
      <x v="39"/>
    </i>
    <i r="1">
      <x v="79"/>
      <x v="30"/>
      <x v="9"/>
      <x v="3"/>
      <x v="38"/>
    </i>
    <i r="1">
      <x v="85"/>
      <x v="30"/>
      <x v="34"/>
      <x v="2"/>
      <x v="60"/>
    </i>
    <i r="1">
      <x v="106"/>
      <x v="30"/>
      <x v="86"/>
      <x v="3"/>
      <x v="106"/>
    </i>
  </rowItems>
  <colItems count="1">
    <i/>
  </colItems>
  <formats count="166">
    <format dxfId="184">
      <pivotArea dataOnly="0" labelOnly="1" outline="0" fieldPosition="0">
        <references count="1">
          <reference field="4" count="0"/>
        </references>
      </pivotArea>
    </format>
    <format dxfId="183">
      <pivotArea dataOnly="0" labelOnly="1" outline="0" fieldPosition="0">
        <references count="1">
          <reference field="4" count="0"/>
        </references>
      </pivotArea>
    </format>
    <format dxfId="182">
      <pivotArea field="4" type="button" dataOnly="0" labelOnly="1" outline="0" axis="axisRow" fieldPosition="0"/>
    </format>
    <format dxfId="181">
      <pivotArea field="0" type="button" dataOnly="0" labelOnly="1" outline="0" axis="axisRow" fieldPosition="1"/>
    </format>
    <format dxfId="180">
      <pivotArea field="5" type="button" dataOnly="0" labelOnly="1" outline="0" axis="axisRow" fieldPosition="2"/>
    </format>
    <format dxfId="179">
      <pivotArea field="2" type="button" dataOnly="0" labelOnly="1" outline="0" axis="axisRow" fieldPosition="3"/>
    </format>
    <format dxfId="178">
      <pivotArea field="8" type="button" dataOnly="0" labelOnly="1" outline="0"/>
    </format>
    <format dxfId="177">
      <pivotArea type="all" dataOnly="0" outline="0" fieldPosition="0"/>
    </format>
    <format dxfId="176">
      <pivotArea field="4" type="button" dataOnly="0" labelOnly="1" outline="0" axis="axisRow" fieldPosition="0"/>
    </format>
    <format dxfId="175">
      <pivotArea field="0" type="button" dataOnly="0" labelOnly="1" outline="0" axis="axisRow" fieldPosition="1"/>
    </format>
    <format dxfId="174">
      <pivotArea field="5" type="button" dataOnly="0" labelOnly="1" outline="0" axis="axisRow" fieldPosition="2"/>
    </format>
    <format dxfId="173">
      <pivotArea field="2" type="button" dataOnly="0" labelOnly="1" outline="0" axis="axisRow" fieldPosition="3"/>
    </format>
    <format dxfId="172">
      <pivotArea field="8" type="button" dataOnly="0" labelOnly="1" outline="0"/>
    </format>
    <format dxfId="171">
      <pivotArea dataOnly="0" labelOnly="1" outline="0" fieldPosition="0">
        <references count="1">
          <reference field="4" count="0"/>
        </references>
      </pivotArea>
    </format>
    <format dxfId="170">
      <pivotArea dataOnly="0" labelOnly="1" outline="0" fieldPosition="0">
        <references count="2">
          <reference field="0" count="15">
            <x v="1"/>
            <x v="23"/>
            <x v="24"/>
            <x v="37"/>
            <x v="46"/>
            <x v="47"/>
            <x v="58"/>
            <x v="59"/>
            <x v="68"/>
            <x v="70"/>
            <x v="72"/>
            <x v="88"/>
            <x v="91"/>
            <x v="92"/>
            <x v="101"/>
          </reference>
          <reference field="4" count="1" selected="0">
            <x v="0"/>
          </reference>
        </references>
      </pivotArea>
    </format>
    <format dxfId="169">
      <pivotArea dataOnly="0" labelOnly="1" outline="0" fieldPosition="0">
        <references count="2">
          <reference field="0" count="23">
            <x v="11"/>
            <x v="17"/>
            <x v="18"/>
            <x v="22"/>
            <x v="40"/>
            <x v="48"/>
            <x v="49"/>
            <x v="50"/>
            <x v="51"/>
            <x v="52"/>
            <x v="53"/>
            <x v="54"/>
            <x v="55"/>
            <x v="61"/>
            <x v="62"/>
            <x v="65"/>
            <x v="69"/>
            <x v="84"/>
            <x v="86"/>
            <x v="87"/>
            <x v="90"/>
            <x v="96"/>
            <x v="97"/>
          </reference>
          <reference field="4" count="1" selected="0">
            <x v="1"/>
          </reference>
        </references>
      </pivotArea>
    </format>
    <format dxfId="168">
      <pivotArea dataOnly="0" labelOnly="1" outline="0" fieldPosition="0">
        <references count="2">
          <reference field="0" count="3">
            <x v="12"/>
            <x v="13"/>
            <x v="14"/>
          </reference>
          <reference field="4" count="1" selected="0">
            <x v="2"/>
          </reference>
        </references>
      </pivotArea>
    </format>
    <format dxfId="167">
      <pivotArea dataOnly="0" labelOnly="1" outline="0" fieldPosition="0">
        <references count="2">
          <reference field="0" count="7">
            <x v="19"/>
            <x v="20"/>
            <x v="64"/>
            <x v="94"/>
            <x v="95"/>
            <x v="99"/>
            <x v="103"/>
          </reference>
          <reference field="4" count="1" selected="0">
            <x v="3"/>
          </reference>
        </references>
      </pivotArea>
    </format>
    <format dxfId="166">
      <pivotArea dataOnly="0" labelOnly="1" outline="0" fieldPosition="0">
        <references count="2">
          <reference field="0" count="23">
            <x v="2"/>
            <x v="3"/>
            <x v="15"/>
            <x v="16"/>
            <x v="28"/>
            <x v="29"/>
            <x v="30"/>
            <x v="38"/>
            <x v="39"/>
            <x v="41"/>
            <x v="44"/>
            <x v="56"/>
            <x v="57"/>
            <x v="63"/>
            <x v="73"/>
            <x v="74"/>
            <x v="80"/>
            <x v="81"/>
            <x v="82"/>
            <x v="83"/>
            <x v="89"/>
            <x v="98"/>
            <x v="102"/>
          </reference>
          <reference field="4" count="1" selected="0">
            <x v="4"/>
          </reference>
        </references>
      </pivotArea>
    </format>
    <format dxfId="165">
      <pivotArea dataOnly="0" labelOnly="1" outline="0" fieldPosition="0">
        <references count="2">
          <reference field="0" count="16">
            <x v="0"/>
            <x v="5"/>
            <x v="6"/>
            <x v="7"/>
            <x v="8"/>
            <x v="9"/>
            <x v="10"/>
            <x v="21"/>
            <x v="27"/>
            <x v="31"/>
            <x v="32"/>
            <x v="33"/>
            <x v="34"/>
            <x v="35"/>
            <x v="36"/>
            <x v="100"/>
          </reference>
          <reference field="4" count="1" selected="0">
            <x v="5"/>
          </reference>
        </references>
      </pivotArea>
    </format>
    <format dxfId="164">
      <pivotArea dataOnly="0" labelOnly="1" outline="0" fieldPosition="0">
        <references count="2">
          <reference field="0" count="10">
            <x v="25"/>
            <x v="26"/>
            <x v="42"/>
            <x v="45"/>
            <x v="60"/>
            <x v="66"/>
            <x v="67"/>
            <x v="71"/>
            <x v="75"/>
            <x v="93"/>
          </reference>
          <reference field="4" count="1" selected="0">
            <x v="6"/>
          </reference>
        </references>
      </pivotArea>
    </format>
    <format dxfId="163">
      <pivotArea dataOnly="0" labelOnly="1" outline="0" fieldPosition="0">
        <references count="2">
          <reference field="0" count="7">
            <x v="4"/>
            <x v="43"/>
            <x v="76"/>
            <x v="77"/>
            <x v="78"/>
            <x v="79"/>
            <x v="85"/>
          </reference>
          <reference field="4" count="1" selected="0">
            <x v="7"/>
          </reference>
        </references>
      </pivotArea>
    </format>
    <format dxfId="162">
      <pivotArea dataOnly="0" labelOnly="1" outline="0" fieldPosition="0">
        <references count="3">
          <reference field="0" count="1" selected="0">
            <x v="1"/>
          </reference>
          <reference field="4" count="1" selected="0">
            <x v="0"/>
          </reference>
          <reference field="5" count="1">
            <x v="13"/>
          </reference>
        </references>
      </pivotArea>
    </format>
    <format dxfId="161">
      <pivotArea dataOnly="0" labelOnly="1" outline="0" fieldPosition="0">
        <references count="3">
          <reference field="0" count="1" selected="0">
            <x v="23"/>
          </reference>
          <reference field="4" count="1" selected="0">
            <x v="0"/>
          </reference>
          <reference field="5" count="1">
            <x v="30"/>
          </reference>
        </references>
      </pivotArea>
    </format>
    <format dxfId="160">
      <pivotArea dataOnly="0" labelOnly="1" outline="0" fieldPosition="0">
        <references count="3">
          <reference field="0" count="1" selected="0">
            <x v="24"/>
          </reference>
          <reference field="4" count="1" selected="0">
            <x v="0"/>
          </reference>
          <reference field="5" count="1">
            <x v="8"/>
          </reference>
        </references>
      </pivotArea>
    </format>
    <format dxfId="159">
      <pivotArea dataOnly="0" labelOnly="1" outline="0" fieldPosition="0">
        <references count="3">
          <reference field="0" count="1" selected="0">
            <x v="37"/>
          </reference>
          <reference field="4" count="1" selected="0">
            <x v="0"/>
          </reference>
          <reference field="5" count="1">
            <x v="30"/>
          </reference>
        </references>
      </pivotArea>
    </format>
    <format dxfId="158">
      <pivotArea dataOnly="0" labelOnly="1" outline="0" fieldPosition="0">
        <references count="3">
          <reference field="0" count="1" selected="0">
            <x v="47"/>
          </reference>
          <reference field="4" count="1" selected="0">
            <x v="0"/>
          </reference>
          <reference field="5" count="1">
            <x v="12"/>
          </reference>
        </references>
      </pivotArea>
    </format>
    <format dxfId="157">
      <pivotArea dataOnly="0" labelOnly="1" outline="0" fieldPosition="0">
        <references count="3">
          <reference field="0" count="1" selected="0">
            <x v="58"/>
          </reference>
          <reference field="4" count="1" selected="0">
            <x v="0"/>
          </reference>
          <reference field="5" count="1">
            <x v="30"/>
          </reference>
        </references>
      </pivotArea>
    </format>
    <format dxfId="156">
      <pivotArea dataOnly="0" labelOnly="1" outline="0" fieldPosition="0">
        <references count="3">
          <reference field="0" count="1" selected="0">
            <x v="65"/>
          </reference>
          <reference field="4" count="1" selected="0">
            <x v="1"/>
          </reference>
          <reference field="5" count="1">
            <x v="22"/>
          </reference>
        </references>
      </pivotArea>
    </format>
    <format dxfId="155">
      <pivotArea dataOnly="0" labelOnly="1" outline="0" fieldPosition="0">
        <references count="3">
          <reference field="0" count="1" selected="0">
            <x v="69"/>
          </reference>
          <reference field="4" count="1" selected="0">
            <x v="1"/>
          </reference>
          <reference field="5" count="1">
            <x v="30"/>
          </reference>
        </references>
      </pivotArea>
    </format>
    <format dxfId="154">
      <pivotArea dataOnly="0" labelOnly="1" outline="0" fieldPosition="0">
        <references count="3">
          <reference field="0" count="1" selected="0">
            <x v="12"/>
          </reference>
          <reference field="4" count="1" selected="0">
            <x v="2"/>
          </reference>
          <reference field="5" count="1">
            <x v="6"/>
          </reference>
        </references>
      </pivotArea>
    </format>
    <format dxfId="153">
      <pivotArea dataOnly="0" labelOnly="1" outline="0" fieldPosition="0">
        <references count="3">
          <reference field="0" count="1" selected="0">
            <x v="13"/>
          </reference>
          <reference field="4" count="1" selected="0">
            <x v="2"/>
          </reference>
          <reference field="5" count="1">
            <x v="7"/>
          </reference>
        </references>
      </pivotArea>
    </format>
    <format dxfId="152">
      <pivotArea dataOnly="0" labelOnly="1" outline="0" fieldPosition="0">
        <references count="3">
          <reference field="0" count="1" selected="0">
            <x v="14"/>
          </reference>
          <reference field="4" count="1" selected="0">
            <x v="2"/>
          </reference>
          <reference field="5" count="1">
            <x v="5"/>
          </reference>
        </references>
      </pivotArea>
    </format>
    <format dxfId="151">
      <pivotArea dataOnly="0" labelOnly="1" outline="0" fieldPosition="0">
        <references count="3">
          <reference field="0" count="1" selected="0">
            <x v="19"/>
          </reference>
          <reference field="4" count="1" selected="0">
            <x v="3"/>
          </reference>
          <reference field="5" count="1">
            <x v="16"/>
          </reference>
        </references>
      </pivotArea>
    </format>
    <format dxfId="150">
      <pivotArea dataOnly="0" labelOnly="1" outline="0" fieldPosition="0">
        <references count="3">
          <reference field="0" count="1" selected="0">
            <x v="20"/>
          </reference>
          <reference field="4" count="1" selected="0">
            <x v="3"/>
          </reference>
          <reference field="5" count="1">
            <x v="17"/>
          </reference>
        </references>
      </pivotArea>
    </format>
    <format dxfId="149">
      <pivotArea dataOnly="0" labelOnly="1" outline="0" fieldPosition="0">
        <references count="3">
          <reference field="0" count="1" selected="0">
            <x v="64"/>
          </reference>
          <reference field="4" count="1" selected="0">
            <x v="3"/>
          </reference>
          <reference field="5" count="1">
            <x v="30"/>
          </reference>
        </references>
      </pivotArea>
    </format>
    <format dxfId="148">
      <pivotArea dataOnly="0" labelOnly="1" outline="0" fieldPosition="0">
        <references count="3">
          <reference field="0" count="1" selected="0">
            <x v="94"/>
          </reference>
          <reference field="4" count="1" selected="0">
            <x v="3"/>
          </reference>
          <reference field="5" count="1">
            <x v="3"/>
          </reference>
        </references>
      </pivotArea>
    </format>
    <format dxfId="147">
      <pivotArea dataOnly="0" labelOnly="1" outline="0" fieldPosition="0">
        <references count="3">
          <reference field="0" count="1" selected="0">
            <x v="95"/>
          </reference>
          <reference field="4" count="1" selected="0">
            <x v="3"/>
          </reference>
          <reference field="5" count="1">
            <x v="4"/>
          </reference>
        </references>
      </pivotArea>
    </format>
    <format dxfId="146">
      <pivotArea dataOnly="0" labelOnly="1" outline="0" fieldPosition="0">
        <references count="3">
          <reference field="0" count="1" selected="0">
            <x v="99"/>
          </reference>
          <reference field="4" count="1" selected="0">
            <x v="3"/>
          </reference>
          <reference field="5" count="1">
            <x v="30"/>
          </reference>
        </references>
      </pivotArea>
    </format>
    <format dxfId="145">
      <pivotArea dataOnly="0" labelOnly="1" outline="0" fieldPosition="0">
        <references count="3">
          <reference field="0" count="1" selected="0">
            <x v="103"/>
          </reference>
          <reference field="4" count="1" selected="0">
            <x v="3"/>
          </reference>
          <reference field="5" count="1">
            <x v="14"/>
          </reference>
        </references>
      </pivotArea>
    </format>
    <format dxfId="144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4"/>
          </reference>
          <reference field="5" count="1">
            <x v="28"/>
          </reference>
        </references>
      </pivotArea>
    </format>
    <format dxfId="143">
      <pivotArea dataOnly="0" labelOnly="1" outline="0" fieldPosition="0">
        <references count="3">
          <reference field="0" count="1" selected="0">
            <x v="3"/>
          </reference>
          <reference field="4" count="1" selected="0">
            <x v="4"/>
          </reference>
          <reference field="5" count="1">
            <x v="1"/>
          </reference>
        </references>
      </pivotArea>
    </format>
    <format dxfId="142">
      <pivotArea dataOnly="0" labelOnly="1" outline="0" fieldPosition="0">
        <references count="3">
          <reference field="0" count="1" selected="0">
            <x v="15"/>
          </reference>
          <reference field="4" count="1" selected="0">
            <x v="4"/>
          </reference>
          <reference field="5" count="1">
            <x v="30"/>
          </reference>
        </references>
      </pivotArea>
    </format>
    <format dxfId="141">
      <pivotArea dataOnly="0" labelOnly="1" outline="0" fieldPosition="0">
        <references count="3">
          <reference field="0" count="1" selected="0">
            <x v="39"/>
          </reference>
          <reference field="4" count="1" selected="0">
            <x v="4"/>
          </reference>
          <reference field="5" count="1">
            <x v="19"/>
          </reference>
        </references>
      </pivotArea>
    </format>
    <format dxfId="140">
      <pivotArea dataOnly="0" labelOnly="1" outline="0" fieldPosition="0">
        <references count="3">
          <reference field="0" count="1" selected="0">
            <x v="41"/>
          </reference>
          <reference field="4" count="1" selected="0">
            <x v="4"/>
          </reference>
          <reference field="5" count="1">
            <x v="30"/>
          </reference>
        </references>
      </pivotArea>
    </format>
    <format dxfId="139">
      <pivotArea dataOnly="0" labelOnly="1" outline="0" fieldPosition="0">
        <references count="3">
          <reference field="0" count="1" selected="0">
            <x v="63"/>
          </reference>
          <reference field="4" count="1" selected="0">
            <x v="4"/>
          </reference>
          <reference field="5" count="1">
            <x v="15"/>
          </reference>
        </references>
      </pivotArea>
    </format>
    <format dxfId="138">
      <pivotArea dataOnly="0" labelOnly="1" outline="0" fieldPosition="0">
        <references count="3">
          <reference field="0" count="1" selected="0">
            <x v="73"/>
          </reference>
          <reference field="4" count="1" selected="0">
            <x v="4"/>
          </reference>
          <reference field="5" count="1">
            <x v="21"/>
          </reference>
        </references>
      </pivotArea>
    </format>
    <format dxfId="137">
      <pivotArea dataOnly="0" labelOnly="1" outline="0" fieldPosition="0">
        <references count="3">
          <reference field="0" count="1" selected="0">
            <x v="74"/>
          </reference>
          <reference field="4" count="1" selected="0">
            <x v="4"/>
          </reference>
          <reference field="5" count="1">
            <x v="24"/>
          </reference>
        </references>
      </pivotArea>
    </format>
    <format dxfId="136">
      <pivotArea dataOnly="0" labelOnly="1" outline="0" fieldPosition="0">
        <references count="3">
          <reference field="0" count="1" selected="0">
            <x v="80"/>
          </reference>
          <reference field="4" count="1" selected="0">
            <x v="4"/>
          </reference>
          <reference field="5" count="1">
            <x v="2"/>
          </reference>
        </references>
      </pivotArea>
    </format>
    <format dxfId="135">
      <pivotArea dataOnly="0" labelOnly="1" outline="0" fieldPosition="0">
        <references count="3">
          <reference field="0" count="1" selected="0">
            <x v="81"/>
          </reference>
          <reference field="4" count="1" selected="0">
            <x v="4"/>
          </reference>
          <reference field="5" count="1">
            <x v="11"/>
          </reference>
        </references>
      </pivotArea>
    </format>
    <format dxfId="134">
      <pivotArea dataOnly="0" labelOnly="1" outline="0" fieldPosition="0">
        <references count="3">
          <reference field="0" count="1" selected="0">
            <x v="82"/>
          </reference>
          <reference field="4" count="1" selected="0">
            <x v="4"/>
          </reference>
          <reference field="5" count="1">
            <x v="23"/>
          </reference>
        </references>
      </pivotArea>
    </format>
    <format dxfId="133">
      <pivotArea dataOnly="0" labelOnly="1" outline="0" fieldPosition="0">
        <references count="3">
          <reference field="0" count="1" selected="0">
            <x v="83"/>
          </reference>
          <reference field="4" count="1" selected="0">
            <x v="4"/>
          </reference>
          <reference field="5" count="1">
            <x v="0"/>
          </reference>
        </references>
      </pivotArea>
    </format>
    <format dxfId="132">
      <pivotArea dataOnly="0" labelOnly="1" outline="0" fieldPosition="0">
        <references count="3">
          <reference field="0" count="1" selected="0">
            <x v="89"/>
          </reference>
          <reference field="4" count="1" selected="0">
            <x v="4"/>
          </reference>
          <reference field="5" count="1">
            <x v="30"/>
          </reference>
        </references>
      </pivotArea>
    </format>
    <format dxfId="131">
      <pivotArea dataOnly="0" labelOnly="1" outline="0" fieldPosition="0">
        <references count="3">
          <reference field="0" count="1" selected="0">
            <x v="21"/>
          </reference>
          <reference field="4" count="1" selected="0">
            <x v="5"/>
          </reference>
          <reference field="5" count="1">
            <x v="20"/>
          </reference>
        </references>
      </pivotArea>
    </format>
    <format dxfId="130">
      <pivotArea dataOnly="0" labelOnly="1" outline="0" fieldPosition="0">
        <references count="3">
          <reference field="0" count="1" selected="0">
            <x v="27"/>
          </reference>
          <reference field="4" count="1" selected="0">
            <x v="5"/>
          </reference>
          <reference field="5" count="1">
            <x v="30"/>
          </reference>
        </references>
      </pivotArea>
    </format>
    <format dxfId="129">
      <pivotArea dataOnly="0" labelOnly="1" outline="0" fieldPosition="0">
        <references count="3">
          <reference field="0" count="1" selected="0">
            <x v="31"/>
          </reference>
          <reference field="4" count="1" selected="0">
            <x v="5"/>
          </reference>
          <reference field="5" count="1">
            <x v="9"/>
          </reference>
        </references>
      </pivotArea>
    </format>
    <format dxfId="128">
      <pivotArea dataOnly="0" labelOnly="1" outline="0" fieldPosition="0">
        <references count="3">
          <reference field="0" count="1" selected="0">
            <x v="32"/>
          </reference>
          <reference field="4" count="1" selected="0">
            <x v="5"/>
          </reference>
          <reference field="5" count="1">
            <x v="10"/>
          </reference>
        </references>
      </pivotArea>
    </format>
    <format dxfId="127">
      <pivotArea dataOnly="0" labelOnly="1" outline="0" fieldPosition="0">
        <references count="3">
          <reference field="0" count="1" selected="0">
            <x v="33"/>
          </reference>
          <reference field="4" count="1" selected="0">
            <x v="5"/>
          </reference>
          <reference field="5" count="1">
            <x v="30"/>
          </reference>
        </references>
      </pivotArea>
    </format>
    <format dxfId="126">
      <pivotArea dataOnly="0" labelOnly="1" outline="0" fieldPosition="0">
        <references count="3">
          <reference field="0" count="1" selected="0">
            <x v="35"/>
          </reference>
          <reference field="4" count="1" selected="0">
            <x v="5"/>
          </reference>
          <reference field="5" count="1">
            <x v="27"/>
          </reference>
        </references>
      </pivotArea>
    </format>
    <format dxfId="125">
      <pivotArea dataOnly="0" labelOnly="1" outline="0" fieldPosition="0">
        <references count="3">
          <reference field="0" count="1" selected="0">
            <x v="36"/>
          </reference>
          <reference field="4" count="1" selected="0">
            <x v="5"/>
          </reference>
          <reference field="5" count="1">
            <x v="30"/>
          </reference>
        </references>
      </pivotArea>
    </format>
    <format dxfId="124">
      <pivotArea dataOnly="0" labelOnly="1" outline="0" fieldPosition="0">
        <references count="3">
          <reference field="0" count="1" selected="0">
            <x v="60"/>
          </reference>
          <reference field="4" count="1" selected="0">
            <x v="6"/>
          </reference>
          <reference field="5" count="1">
            <x v="26"/>
          </reference>
        </references>
      </pivotArea>
    </format>
    <format dxfId="123">
      <pivotArea dataOnly="0" labelOnly="1" outline="0" fieldPosition="0">
        <references count="3">
          <reference field="0" count="1" selected="0">
            <x v="66"/>
          </reference>
          <reference field="4" count="1" selected="0">
            <x v="6"/>
          </reference>
          <reference field="5" count="1">
            <x v="30"/>
          </reference>
        </references>
      </pivotArea>
    </format>
    <format dxfId="122">
      <pivotArea dataOnly="0" labelOnly="1" outline="0" fieldPosition="0">
        <references count="3">
          <reference field="0" count="1" selected="0">
            <x v="71"/>
          </reference>
          <reference field="4" count="1" selected="0">
            <x v="6"/>
          </reference>
          <reference field="5" count="1">
            <x v="25"/>
          </reference>
        </references>
      </pivotArea>
    </format>
    <format dxfId="121">
      <pivotArea dataOnly="0" labelOnly="1" outline="0" fieldPosition="0">
        <references count="3">
          <reference field="0" count="1" selected="0">
            <x v="75"/>
          </reference>
          <reference field="4" count="1" selected="0">
            <x v="6"/>
          </reference>
          <reference field="5" count="1">
            <x v="30"/>
          </reference>
        </references>
      </pivotArea>
    </format>
    <format dxfId="120">
      <pivotArea dataOnly="0" labelOnly="1" outline="0" fieldPosition="0">
        <references count="3">
          <reference field="0" count="1" selected="0">
            <x v="93"/>
          </reference>
          <reference field="4" count="1" selected="0">
            <x v="6"/>
          </reference>
          <reference field="5" count="1">
            <x v="18"/>
          </reference>
        </references>
      </pivotArea>
    </format>
    <format dxfId="119">
      <pivotArea dataOnly="0" labelOnly="1" outline="0" fieldPosition="0">
        <references count="3">
          <reference field="0" count="1" selected="0">
            <x v="4"/>
          </reference>
          <reference field="4" count="1" selected="0">
            <x v="7"/>
          </reference>
          <reference field="5" count="1">
            <x v="30"/>
          </reference>
        </references>
      </pivotArea>
    </format>
    <format dxfId="118">
      <pivotArea dataOnly="0" labelOnly="1" outline="0" fieldPosition="0">
        <references count="3">
          <reference field="0" count="1" selected="0">
            <x v="43"/>
          </reference>
          <reference field="4" count="1" selected="0">
            <x v="7"/>
          </reference>
          <reference field="5" count="1">
            <x v="29"/>
          </reference>
        </references>
      </pivotArea>
    </format>
    <format dxfId="117">
      <pivotArea dataOnly="0" labelOnly="1" outline="0" fieldPosition="0">
        <references count="3">
          <reference field="0" count="1" selected="0">
            <x v="76"/>
          </reference>
          <reference field="4" count="1" selected="0">
            <x v="7"/>
          </reference>
          <reference field="5" count="1">
            <x v="30"/>
          </reference>
        </references>
      </pivotArea>
    </format>
    <format dxfId="116">
      <pivotArea dataOnly="0" labelOnly="1" outline="0" fieldPosition="0">
        <references count="4">
          <reference field="0" count="1" selected="0">
            <x v="1"/>
          </reference>
          <reference field="2" count="1">
            <x v="14"/>
          </reference>
          <reference field="4" count="1" selected="0">
            <x v="0"/>
          </reference>
          <reference field="5" count="1" selected="0">
            <x v="13"/>
          </reference>
        </references>
      </pivotArea>
    </format>
    <format dxfId="115">
      <pivotArea dataOnly="0" labelOnly="1" outline="0" fieldPosition="0">
        <references count="4">
          <reference field="0" count="1" selected="0">
            <x v="23"/>
          </reference>
          <reference field="2" count="1">
            <x v="2"/>
          </reference>
          <reference field="4" count="1" selected="0">
            <x v="0"/>
          </reference>
          <reference field="5" count="1" selected="0">
            <x v="30"/>
          </reference>
        </references>
      </pivotArea>
    </format>
    <format dxfId="114">
      <pivotArea dataOnly="0" labelOnly="1" outline="0" fieldPosition="0">
        <references count="4">
          <reference field="0" count="1" selected="0">
            <x v="24"/>
          </reference>
          <reference field="2" count="1">
            <x v="21"/>
          </reference>
          <reference field="4" count="1" selected="0">
            <x v="0"/>
          </reference>
          <reference field="5" count="1" selected="0">
            <x v="8"/>
          </reference>
        </references>
      </pivotArea>
    </format>
    <format dxfId="113">
      <pivotArea dataOnly="0" labelOnly="1" outline="0" fieldPosition="0">
        <references count="4">
          <reference field="0" count="1" selected="0">
            <x v="37"/>
          </reference>
          <reference field="2" count="1">
            <x v="0"/>
          </reference>
          <reference field="4" count="1" selected="0">
            <x v="0"/>
          </reference>
          <reference field="5" count="1" selected="0">
            <x v="30"/>
          </reference>
        </references>
      </pivotArea>
    </format>
    <format dxfId="112">
      <pivotArea dataOnly="0" labelOnly="1" outline="0" fieldPosition="0">
        <references count="4">
          <reference field="0" count="1" selected="0">
            <x v="46"/>
          </reference>
          <reference field="2" count="1">
            <x v="12"/>
          </reference>
          <reference field="4" count="1" selected="0">
            <x v="0"/>
          </reference>
          <reference field="5" count="1" selected="0">
            <x v="30"/>
          </reference>
        </references>
      </pivotArea>
    </format>
    <format dxfId="111">
      <pivotArea dataOnly="0" labelOnly="1" outline="0" fieldPosition="0">
        <references count="4">
          <reference field="0" count="1" selected="0">
            <x v="47"/>
          </reference>
          <reference field="2" count="1">
            <x v="27"/>
          </reference>
          <reference field="4" count="1" selected="0">
            <x v="0"/>
          </reference>
          <reference field="5" count="1" selected="0">
            <x v="12"/>
          </reference>
        </references>
      </pivotArea>
    </format>
    <format dxfId="110">
      <pivotArea dataOnly="0" labelOnly="1" outline="0" fieldPosition="0">
        <references count="4">
          <reference field="0" count="1" selected="0">
            <x v="58"/>
          </reference>
          <reference field="2" count="1">
            <x v="1"/>
          </reference>
          <reference field="4" count="1" selected="0">
            <x v="0"/>
          </reference>
          <reference field="5" count="1" selected="0">
            <x v="30"/>
          </reference>
        </references>
      </pivotArea>
    </format>
    <format dxfId="109">
      <pivotArea dataOnly="0" labelOnly="1" outline="0" fieldPosition="0">
        <references count="4">
          <reference field="0" count="1" selected="0">
            <x v="59"/>
          </reference>
          <reference field="2" count="1">
            <x v="0"/>
          </reference>
          <reference field="4" count="1" selected="0">
            <x v="0"/>
          </reference>
          <reference field="5" count="1" selected="0">
            <x v="30"/>
          </reference>
        </references>
      </pivotArea>
    </format>
    <format dxfId="108">
      <pivotArea dataOnly="0" labelOnly="1" outline="0" fieldPosition="0">
        <references count="4">
          <reference field="0" count="1" selected="0">
            <x v="68"/>
          </reference>
          <reference field="2" count="1">
            <x v="3"/>
          </reference>
          <reference field="4" count="1" selected="0">
            <x v="0"/>
          </reference>
          <reference field="5" count="1" selected="0">
            <x v="30"/>
          </reference>
        </references>
      </pivotArea>
    </format>
    <format dxfId="107">
      <pivotArea dataOnly="0" labelOnly="1" outline="0" fieldPosition="0">
        <references count="4">
          <reference field="0" count="1" selected="0">
            <x v="70"/>
          </reference>
          <reference field="2" count="1">
            <x v="0"/>
          </reference>
          <reference field="4" count="1" selected="0">
            <x v="0"/>
          </reference>
          <reference field="5" count="1" selected="0">
            <x v="30"/>
          </reference>
        </references>
      </pivotArea>
    </format>
    <format dxfId="106">
      <pivotArea dataOnly="0" labelOnly="1" outline="0" fieldPosition="0">
        <references count="4">
          <reference field="0" count="1" selected="0">
            <x v="72"/>
          </reference>
          <reference field="2" count="1">
            <x v="30"/>
          </reference>
          <reference field="4" count="1" selected="0">
            <x v="0"/>
          </reference>
          <reference field="5" count="1" selected="0">
            <x v="30"/>
          </reference>
        </references>
      </pivotArea>
    </format>
    <format dxfId="105">
      <pivotArea dataOnly="0" labelOnly="1" outline="0" fieldPosition="0">
        <references count="4">
          <reference field="0" count="1" selected="0">
            <x v="88"/>
          </reference>
          <reference field="2" count="1">
            <x v="45"/>
          </reference>
          <reference field="4" count="1" selected="0">
            <x v="0"/>
          </reference>
          <reference field="5" count="1" selected="0">
            <x v="30"/>
          </reference>
        </references>
      </pivotArea>
    </format>
    <format dxfId="104">
      <pivotArea dataOnly="0" labelOnly="1" outline="0" fieldPosition="0">
        <references count="4">
          <reference field="0" count="1" selected="0">
            <x v="91"/>
          </reference>
          <reference field="2" count="1">
            <x v="11"/>
          </reference>
          <reference field="4" count="1" selected="0">
            <x v="0"/>
          </reference>
          <reference field="5" count="1" selected="0">
            <x v="30"/>
          </reference>
        </references>
      </pivotArea>
    </format>
    <format dxfId="103">
      <pivotArea dataOnly="0" labelOnly="1" outline="0" fieldPosition="0">
        <references count="4">
          <reference field="0" count="1" selected="0">
            <x v="92"/>
          </reference>
          <reference field="2" count="1">
            <x v="16"/>
          </reference>
          <reference field="4" count="1" selected="0">
            <x v="0"/>
          </reference>
          <reference field="5" count="1" selected="0">
            <x v="30"/>
          </reference>
        </references>
      </pivotArea>
    </format>
    <format dxfId="102">
      <pivotArea dataOnly="0" labelOnly="1" outline="0" fieldPosition="0">
        <references count="4">
          <reference field="0" count="1" selected="0">
            <x v="101"/>
          </reference>
          <reference field="2" count="1">
            <x v="5"/>
          </reference>
          <reference field="4" count="1" selected="0">
            <x v="0"/>
          </reference>
          <reference field="5" count="1" selected="0">
            <x v="30"/>
          </reference>
        </references>
      </pivotArea>
    </format>
    <format dxfId="101">
      <pivotArea dataOnly="0" labelOnly="1" outline="0" fieldPosition="0">
        <references count="4">
          <reference field="0" count="1" selected="0">
            <x v="11"/>
          </reference>
          <reference field="2" count="1">
            <x v="15"/>
          </reference>
          <reference field="4" count="1" selected="0">
            <x v="1"/>
          </reference>
          <reference field="5" count="1" selected="0">
            <x v="30"/>
          </reference>
        </references>
      </pivotArea>
    </format>
    <format dxfId="100">
      <pivotArea dataOnly="0" labelOnly="1" outline="0" fieldPosition="0">
        <references count="4">
          <reference field="0" count="1" selected="0">
            <x v="17"/>
          </reference>
          <reference field="2" count="1">
            <x v="22"/>
          </reference>
          <reference field="4" count="1" selected="0">
            <x v="1"/>
          </reference>
          <reference field="5" count="1" selected="0">
            <x v="30"/>
          </reference>
        </references>
      </pivotArea>
    </format>
    <format dxfId="99">
      <pivotArea dataOnly="0" labelOnly="1" outline="0" fieldPosition="0">
        <references count="4">
          <reference field="0" count="1" selected="0">
            <x v="18"/>
          </reference>
          <reference field="2" count="1">
            <x v="15"/>
          </reference>
          <reference field="4" count="1" selected="0">
            <x v="1"/>
          </reference>
          <reference field="5" count="1" selected="0">
            <x v="30"/>
          </reference>
        </references>
      </pivotArea>
    </format>
    <format dxfId="98">
      <pivotArea dataOnly="0" labelOnly="1" outline="0" fieldPosition="0">
        <references count="4">
          <reference field="0" count="1" selected="0">
            <x v="22"/>
          </reference>
          <reference field="2" count="1">
            <x v="31"/>
          </reference>
          <reference field="4" count="1" selected="0">
            <x v="1"/>
          </reference>
          <reference field="5" count="1" selected="0">
            <x v="30"/>
          </reference>
        </references>
      </pivotArea>
    </format>
    <format dxfId="97">
      <pivotArea dataOnly="0" labelOnly="1" outline="0" fieldPosition="0">
        <references count="4">
          <reference field="0" count="1" selected="0">
            <x v="40"/>
          </reference>
          <reference field="2" count="1">
            <x v="35"/>
          </reference>
          <reference field="4" count="1" selected="0">
            <x v="1"/>
          </reference>
          <reference field="5" count="1" selected="0">
            <x v="30"/>
          </reference>
        </references>
      </pivotArea>
    </format>
    <format dxfId="96">
      <pivotArea dataOnly="0" labelOnly="1" outline="0" fieldPosition="0">
        <references count="4">
          <reference field="0" count="1" selected="0">
            <x v="48"/>
          </reference>
          <reference field="2" count="1">
            <x v="13"/>
          </reference>
          <reference field="4" count="1" selected="0">
            <x v="1"/>
          </reference>
          <reference field="5" count="1" selected="0">
            <x v="30"/>
          </reference>
        </references>
      </pivotArea>
    </format>
    <format dxfId="95">
      <pivotArea dataOnly="0" labelOnly="1" outline="0" fieldPosition="0">
        <references count="4">
          <reference field="0" count="1" selected="0">
            <x v="51"/>
          </reference>
          <reference field="2" count="1">
            <x v="23"/>
          </reference>
          <reference field="4" count="1" selected="0">
            <x v="1"/>
          </reference>
          <reference field="5" count="1" selected="0">
            <x v="30"/>
          </reference>
        </references>
      </pivotArea>
    </format>
    <format dxfId="94">
      <pivotArea dataOnly="0" labelOnly="1" outline="0" fieldPosition="0">
        <references count="4">
          <reference field="0" count="1" selected="0">
            <x v="52"/>
          </reference>
          <reference field="2" count="1">
            <x v="3"/>
          </reference>
          <reference field="4" count="1" selected="0">
            <x v="1"/>
          </reference>
          <reference field="5" count="1" selected="0">
            <x v="30"/>
          </reference>
        </references>
      </pivotArea>
    </format>
    <format dxfId="93">
      <pivotArea dataOnly="0" labelOnly="1" outline="0" fieldPosition="0">
        <references count="4">
          <reference field="0" count="1" selected="0">
            <x v="53"/>
          </reference>
          <reference field="2" count="1">
            <x v="4"/>
          </reference>
          <reference field="4" count="1" selected="0">
            <x v="1"/>
          </reference>
          <reference field="5" count="1" selected="0">
            <x v="30"/>
          </reference>
        </references>
      </pivotArea>
    </format>
    <format dxfId="92">
      <pivotArea dataOnly="0" labelOnly="1" outline="0" fieldPosition="0">
        <references count="4">
          <reference field="0" count="1" selected="0">
            <x v="54"/>
          </reference>
          <reference field="2" count="1">
            <x v="3"/>
          </reference>
          <reference field="4" count="1" selected="0">
            <x v="1"/>
          </reference>
          <reference field="5" count="1" selected="0">
            <x v="30"/>
          </reference>
        </references>
      </pivotArea>
    </format>
    <format dxfId="91">
      <pivotArea dataOnly="0" labelOnly="1" outline="0" fieldPosition="0">
        <references count="4">
          <reference field="0" count="1" selected="0">
            <x v="61"/>
          </reference>
          <reference field="2" count="1">
            <x v="19"/>
          </reference>
          <reference field="4" count="1" selected="0">
            <x v="1"/>
          </reference>
          <reference field="5" count="1" selected="0">
            <x v="30"/>
          </reference>
        </references>
      </pivotArea>
    </format>
    <format dxfId="90">
      <pivotArea dataOnly="0" labelOnly="1" outline="0" fieldPosition="0">
        <references count="4">
          <reference field="0" count="1" selected="0">
            <x v="65"/>
          </reference>
          <reference field="2" count="1">
            <x v="5"/>
          </reference>
          <reference field="4" count="1" selected="0">
            <x v="1"/>
          </reference>
          <reference field="5" count="1" selected="0">
            <x v="22"/>
          </reference>
        </references>
      </pivotArea>
    </format>
    <format dxfId="89">
      <pivotArea dataOnly="0" labelOnly="1" outline="0" fieldPosition="0">
        <references count="4">
          <reference field="0" count="1" selected="0">
            <x v="69"/>
          </reference>
          <reference field="2" count="1">
            <x v="32"/>
          </reference>
          <reference field="4" count="1" selected="0">
            <x v="1"/>
          </reference>
          <reference field="5" count="1" selected="0">
            <x v="30"/>
          </reference>
        </references>
      </pivotArea>
    </format>
    <format dxfId="88">
      <pivotArea dataOnly="0" labelOnly="1" outline="0" fieldPosition="0">
        <references count="4">
          <reference field="0" count="1" selected="0">
            <x v="84"/>
          </reference>
          <reference field="2" count="1">
            <x v="6"/>
          </reference>
          <reference field="4" count="1" selected="0">
            <x v="1"/>
          </reference>
          <reference field="5" count="1" selected="0">
            <x v="30"/>
          </reference>
        </references>
      </pivotArea>
    </format>
    <format dxfId="87">
      <pivotArea dataOnly="0" labelOnly="1" outline="0" fieldPosition="0">
        <references count="4">
          <reference field="0" count="1" selected="0">
            <x v="86"/>
          </reference>
          <reference field="2" count="1">
            <x v="46"/>
          </reference>
          <reference field="4" count="1" selected="0">
            <x v="1"/>
          </reference>
          <reference field="5" count="1" selected="0">
            <x v="30"/>
          </reference>
        </references>
      </pivotArea>
    </format>
    <format dxfId="86">
      <pivotArea dataOnly="0" labelOnly="1" outline="0" fieldPosition="0">
        <references count="4">
          <reference field="0" count="1" selected="0">
            <x v="87"/>
          </reference>
          <reference field="2" count="1">
            <x v="24"/>
          </reference>
          <reference field="4" count="1" selected="0">
            <x v="1"/>
          </reference>
          <reference field="5" count="1" selected="0">
            <x v="30"/>
          </reference>
        </references>
      </pivotArea>
    </format>
    <format dxfId="85">
      <pivotArea dataOnly="0" labelOnly="1" outline="0" fieldPosition="0">
        <references count="4">
          <reference field="0" count="1" selected="0">
            <x v="90"/>
          </reference>
          <reference field="2" count="1">
            <x v="20"/>
          </reference>
          <reference field="4" count="1" selected="0">
            <x v="1"/>
          </reference>
          <reference field="5" count="1" selected="0">
            <x v="30"/>
          </reference>
        </references>
      </pivotArea>
    </format>
    <format dxfId="84">
      <pivotArea dataOnly="0" labelOnly="1" outline="0" fieldPosition="0">
        <references count="4">
          <reference field="0" count="1" selected="0">
            <x v="96"/>
          </reference>
          <reference field="2" count="1">
            <x v="49"/>
          </reference>
          <reference field="4" count="1" selected="0">
            <x v="1"/>
          </reference>
          <reference field="5" count="1" selected="0">
            <x v="30"/>
          </reference>
        </references>
      </pivotArea>
    </format>
    <format dxfId="83">
      <pivotArea dataOnly="0" labelOnly="1" outline="0" fieldPosition="0">
        <references count="4">
          <reference field="0" count="1" selected="0">
            <x v="12"/>
          </reference>
          <reference field="2" count="1">
            <x v="81"/>
          </reference>
          <reference field="4" count="1" selected="0">
            <x v="2"/>
          </reference>
          <reference field="5" count="1" selected="0">
            <x v="6"/>
          </reference>
        </references>
      </pivotArea>
    </format>
    <format dxfId="82">
      <pivotArea dataOnly="0" labelOnly="1" outline="0" fieldPosition="0">
        <references count="4">
          <reference field="0" count="1" selected="0">
            <x v="13"/>
          </reference>
          <reference field="2" count="1">
            <x v="60"/>
          </reference>
          <reference field="4" count="1" selected="0">
            <x v="2"/>
          </reference>
          <reference field="5" count="1" selected="0">
            <x v="7"/>
          </reference>
        </references>
      </pivotArea>
    </format>
    <format dxfId="81">
      <pivotArea dataOnly="0" labelOnly="1" outline="0" fieldPosition="0">
        <references count="4">
          <reference field="0" count="1" selected="0">
            <x v="14"/>
          </reference>
          <reference field="2" count="1">
            <x v="71"/>
          </reference>
          <reference field="4" count="1" selected="0">
            <x v="2"/>
          </reference>
          <reference field="5" count="1" selected="0">
            <x v="5"/>
          </reference>
        </references>
      </pivotArea>
    </format>
    <format dxfId="80">
      <pivotArea dataOnly="0" labelOnly="1" outline="0" fieldPosition="0">
        <references count="4">
          <reference field="0" count="1" selected="0">
            <x v="19"/>
          </reference>
          <reference field="2" count="1">
            <x v="73"/>
          </reference>
          <reference field="4" count="1" selected="0">
            <x v="3"/>
          </reference>
          <reference field="5" count="1" selected="0">
            <x v="16"/>
          </reference>
        </references>
      </pivotArea>
    </format>
    <format dxfId="79">
      <pivotArea dataOnly="0" labelOnly="1" outline="0" fieldPosition="0">
        <references count="4">
          <reference field="0" count="1" selected="0">
            <x v="20"/>
          </reference>
          <reference field="2" count="1">
            <x v="72"/>
          </reference>
          <reference field="4" count="1" selected="0">
            <x v="3"/>
          </reference>
          <reference field="5" count="1" selected="0">
            <x v="17"/>
          </reference>
        </references>
      </pivotArea>
    </format>
    <format dxfId="78">
      <pivotArea dataOnly="0" labelOnly="1" outline="0" fieldPosition="0">
        <references count="4">
          <reference field="0" count="1" selected="0">
            <x v="64"/>
          </reference>
          <reference field="2" count="1">
            <x v="26"/>
          </reference>
          <reference field="4" count="1" selected="0">
            <x v="3"/>
          </reference>
          <reference field="5" count="1" selected="0">
            <x v="30"/>
          </reference>
        </references>
      </pivotArea>
    </format>
    <format dxfId="77">
      <pivotArea dataOnly="0" labelOnly="1" outline="0" fieldPosition="0">
        <references count="4">
          <reference field="0" count="1" selected="0">
            <x v="94"/>
          </reference>
          <reference field="2" count="1">
            <x v="68"/>
          </reference>
          <reference field="4" count="1" selected="0">
            <x v="3"/>
          </reference>
          <reference field="5" count="1" selected="0">
            <x v="3"/>
          </reference>
        </references>
      </pivotArea>
    </format>
    <format dxfId="76">
      <pivotArea dataOnly="0" labelOnly="1" outline="0" fieldPosition="0">
        <references count="4">
          <reference field="0" count="1" selected="0">
            <x v="95"/>
          </reference>
          <reference field="2" count="1">
            <x v="40"/>
          </reference>
          <reference field="4" count="1" selected="0">
            <x v="3"/>
          </reference>
          <reference field="5" count="1" selected="0">
            <x v="4"/>
          </reference>
        </references>
      </pivotArea>
    </format>
    <format dxfId="75">
      <pivotArea dataOnly="0" labelOnly="1" outline="0" fieldPosition="0">
        <references count="4">
          <reference field="0" count="1" selected="0">
            <x v="99"/>
          </reference>
          <reference field="2" count="1">
            <x v="58"/>
          </reference>
          <reference field="4" count="1" selected="0">
            <x v="3"/>
          </reference>
          <reference field="5" count="1" selected="0">
            <x v="30"/>
          </reference>
        </references>
      </pivotArea>
    </format>
    <format dxfId="74">
      <pivotArea dataOnly="0" labelOnly="1" outline="0" fieldPosition="0">
        <references count="4">
          <reference field="0" count="1" selected="0">
            <x v="103"/>
          </reference>
          <reference field="2" count="1">
            <x v="46"/>
          </reference>
          <reference field="4" count="1" selected="0">
            <x v="3"/>
          </reference>
          <reference field="5" count="1" selected="0">
            <x v="14"/>
          </reference>
        </references>
      </pivotArea>
    </format>
    <format dxfId="73">
      <pivotArea dataOnly="0" labelOnly="1" outline="0" fieldPosition="0">
        <references count="4">
          <reference field="0" count="1" selected="0">
            <x v="2"/>
          </reference>
          <reference field="2" count="1">
            <x v="85"/>
          </reference>
          <reference field="4" count="1" selected="0">
            <x v="4"/>
          </reference>
          <reference field="5" count="1" selected="0">
            <x v="28"/>
          </reference>
        </references>
      </pivotArea>
    </format>
    <format dxfId="72">
      <pivotArea dataOnly="0" labelOnly="1" outline="0" fieldPosition="0">
        <references count="4">
          <reference field="0" count="1" selected="0">
            <x v="3"/>
          </reference>
          <reference field="2" count="1">
            <x v="77"/>
          </reference>
          <reference field="4" count="1" selected="0">
            <x v="4"/>
          </reference>
          <reference field="5" count="1" selected="0">
            <x v="1"/>
          </reference>
        </references>
      </pivotArea>
    </format>
    <format dxfId="71">
      <pivotArea dataOnly="0" labelOnly="1" outline="0" fieldPosition="0">
        <references count="4">
          <reference field="0" count="1" selected="0">
            <x v="15"/>
          </reference>
          <reference field="2" count="1">
            <x v="54"/>
          </reference>
          <reference field="4" count="1" selected="0">
            <x v="4"/>
          </reference>
          <reference field="5" count="1" selected="0">
            <x v="30"/>
          </reference>
        </references>
      </pivotArea>
    </format>
    <format dxfId="70">
      <pivotArea dataOnly="0" labelOnly="1" outline="0" fieldPosition="0">
        <references count="4">
          <reference field="0" count="1" selected="0">
            <x v="16"/>
          </reference>
          <reference field="2" count="1">
            <x v="48"/>
          </reference>
          <reference field="4" count="1" selected="0">
            <x v="4"/>
          </reference>
          <reference field="5" count="1" selected="0">
            <x v="30"/>
          </reference>
        </references>
      </pivotArea>
    </format>
    <format dxfId="69">
      <pivotArea dataOnly="0" labelOnly="1" outline="0" fieldPosition="0">
        <references count="4">
          <reference field="0" count="1" selected="0">
            <x v="28"/>
          </reference>
          <reference field="2" count="1">
            <x v="83"/>
          </reference>
          <reference field="4" count="1" selected="0">
            <x v="4"/>
          </reference>
          <reference field="5" count="1" selected="0">
            <x v="30"/>
          </reference>
        </references>
      </pivotArea>
    </format>
    <format dxfId="68">
      <pivotArea dataOnly="0" labelOnly="1" outline="0" fieldPosition="0">
        <references count="4">
          <reference field="0" count="1" selected="0">
            <x v="29"/>
          </reference>
          <reference field="2" count="1">
            <x v="47"/>
          </reference>
          <reference field="4" count="1" selected="0">
            <x v="4"/>
          </reference>
          <reference field="5" count="1" selected="0">
            <x v="30"/>
          </reference>
        </references>
      </pivotArea>
    </format>
    <format dxfId="67">
      <pivotArea dataOnly="0" labelOnly="1" outline="0" fieldPosition="0">
        <references count="4">
          <reference field="0" count="1" selected="0">
            <x v="30"/>
          </reference>
          <reference field="2" count="1">
            <x v="37"/>
          </reference>
          <reference field="4" count="1" selected="0">
            <x v="4"/>
          </reference>
          <reference field="5" count="1" selected="0">
            <x v="30"/>
          </reference>
        </references>
      </pivotArea>
    </format>
    <format dxfId="66">
      <pivotArea dataOnly="0" labelOnly="1" outline="0" fieldPosition="0">
        <references count="4">
          <reference field="0" count="1" selected="0">
            <x v="38"/>
          </reference>
          <reference field="2" count="1">
            <x v="34"/>
          </reference>
          <reference field="4" count="1" selected="0">
            <x v="4"/>
          </reference>
          <reference field="5" count="1" selected="0">
            <x v="30"/>
          </reference>
        </references>
      </pivotArea>
    </format>
    <format dxfId="65">
      <pivotArea dataOnly="0" labelOnly="1" outline="0" fieldPosition="0">
        <references count="4">
          <reference field="0" count="1" selected="0">
            <x v="39"/>
          </reference>
          <reference field="2" count="1">
            <x v="56"/>
          </reference>
          <reference field="4" count="1" selected="0">
            <x v="4"/>
          </reference>
          <reference field="5" count="1" selected="0">
            <x v="19"/>
          </reference>
        </references>
      </pivotArea>
    </format>
    <format dxfId="64">
      <pivotArea dataOnly="0" labelOnly="1" outline="0" fieldPosition="0">
        <references count="4">
          <reference field="0" count="1" selected="0">
            <x v="41"/>
          </reference>
          <reference field="2" count="1">
            <x v="52"/>
          </reference>
          <reference field="4" count="1" selected="0">
            <x v="4"/>
          </reference>
          <reference field="5" count="1" selected="0">
            <x v="30"/>
          </reference>
        </references>
      </pivotArea>
    </format>
    <format dxfId="63">
      <pivotArea dataOnly="0" labelOnly="1" outline="0" fieldPosition="0">
        <references count="4">
          <reference field="0" count="1" selected="0">
            <x v="44"/>
          </reference>
          <reference field="2" count="1">
            <x v="57"/>
          </reference>
          <reference field="4" count="1" selected="0">
            <x v="4"/>
          </reference>
          <reference field="5" count="1" selected="0">
            <x v="30"/>
          </reference>
        </references>
      </pivotArea>
    </format>
    <format dxfId="62">
      <pivotArea dataOnly="0" labelOnly="1" outline="0" fieldPosition="0">
        <references count="4">
          <reference field="0" count="1" selected="0">
            <x v="56"/>
          </reference>
          <reference field="2" count="1">
            <x v="67"/>
          </reference>
          <reference field="4" count="1" selected="0">
            <x v="4"/>
          </reference>
          <reference field="5" count="1" selected="0">
            <x v="30"/>
          </reference>
        </references>
      </pivotArea>
    </format>
    <format dxfId="61">
      <pivotArea dataOnly="0" labelOnly="1" outline="0" fieldPosition="0">
        <references count="4">
          <reference field="0" count="1" selected="0">
            <x v="57"/>
          </reference>
          <reference field="2" count="1">
            <x v="41"/>
          </reference>
          <reference field="4" count="1" selected="0">
            <x v="4"/>
          </reference>
          <reference field="5" count="1" selected="0">
            <x v="30"/>
          </reference>
        </references>
      </pivotArea>
    </format>
    <format dxfId="60">
      <pivotArea dataOnly="0" labelOnly="1" outline="0" fieldPosition="0">
        <references count="4">
          <reference field="0" count="1" selected="0">
            <x v="63"/>
          </reference>
          <reference field="2" count="1">
            <x v="62"/>
          </reference>
          <reference field="4" count="1" selected="0">
            <x v="4"/>
          </reference>
          <reference field="5" count="1" selected="0">
            <x v="15"/>
          </reference>
        </references>
      </pivotArea>
    </format>
    <format dxfId="59">
      <pivotArea dataOnly="0" labelOnly="1" outline="0" fieldPosition="0">
        <references count="4">
          <reference field="0" count="1" selected="0">
            <x v="73"/>
          </reference>
          <reference field="2" count="1">
            <x v="69"/>
          </reference>
          <reference field="4" count="1" selected="0">
            <x v="4"/>
          </reference>
          <reference field="5" count="1" selected="0">
            <x v="21"/>
          </reference>
        </references>
      </pivotArea>
    </format>
    <format dxfId="58">
      <pivotArea dataOnly="0" labelOnly="1" outline="0" fieldPosition="0">
        <references count="4">
          <reference field="0" count="1" selected="0">
            <x v="74"/>
          </reference>
          <reference field="2" count="1">
            <x v="43"/>
          </reference>
          <reference field="4" count="1" selected="0">
            <x v="4"/>
          </reference>
          <reference field="5" count="1" selected="0">
            <x v="24"/>
          </reference>
        </references>
      </pivotArea>
    </format>
    <format dxfId="57">
      <pivotArea dataOnly="0" labelOnly="1" outline="0" fieldPosition="0">
        <references count="4">
          <reference field="0" count="1" selected="0">
            <x v="80"/>
          </reference>
          <reference field="2" count="1">
            <x v="51"/>
          </reference>
          <reference field="4" count="1" selected="0">
            <x v="4"/>
          </reference>
          <reference field="5" count="1" selected="0">
            <x v="2"/>
          </reference>
        </references>
      </pivotArea>
    </format>
    <format dxfId="56">
      <pivotArea dataOnly="0" labelOnly="1" outline="0" fieldPosition="0">
        <references count="4">
          <reference field="0" count="1" selected="0">
            <x v="82"/>
          </reference>
          <reference field="2" count="1">
            <x v="79"/>
          </reference>
          <reference field="4" count="1" selected="0">
            <x v="4"/>
          </reference>
          <reference field="5" count="1" selected="0">
            <x v="23"/>
          </reference>
        </references>
      </pivotArea>
    </format>
    <format dxfId="55">
      <pivotArea dataOnly="0" labelOnly="1" outline="0" fieldPosition="0">
        <references count="4">
          <reference field="0" count="1" selected="0">
            <x v="83"/>
          </reference>
          <reference field="2" count="1">
            <x v="80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54">
      <pivotArea dataOnly="0" labelOnly="1" outline="0" fieldPosition="0">
        <references count="4">
          <reference field="0" count="1" selected="0">
            <x v="89"/>
          </reference>
          <reference field="2" count="1">
            <x v="42"/>
          </reference>
          <reference field="4" count="1" selected="0">
            <x v="4"/>
          </reference>
          <reference field="5" count="1" selected="0">
            <x v="30"/>
          </reference>
        </references>
      </pivotArea>
    </format>
    <format dxfId="53">
      <pivotArea dataOnly="0" labelOnly="1" outline="0" fieldPosition="0">
        <references count="4">
          <reference field="0" count="1" selected="0">
            <x v="98"/>
          </reference>
          <reference field="2" count="1">
            <x v="64"/>
          </reference>
          <reference field="4" count="1" selected="0">
            <x v="4"/>
          </reference>
          <reference field="5" count="1" selected="0">
            <x v="30"/>
          </reference>
        </references>
      </pivotArea>
    </format>
    <format dxfId="52">
      <pivotArea dataOnly="0" labelOnly="1" outline="0" fieldPosition="0">
        <references count="4">
          <reference field="0" count="1" selected="0">
            <x v="102"/>
          </reference>
          <reference field="2" count="1">
            <x v="55"/>
          </reference>
          <reference field="4" count="1" selected="0">
            <x v="4"/>
          </reference>
          <reference field="5" count="1" selected="0">
            <x v="30"/>
          </reference>
        </references>
      </pivotArea>
    </format>
    <format dxfId="51">
      <pivotArea dataOnly="0" labelOnly="1" outline="0" fieldPosition="0">
        <references count="4">
          <reference field="0" count="1" selected="0">
            <x v="0"/>
          </reference>
          <reference field="2" count="1">
            <x v="82"/>
          </reference>
          <reference field="4" count="1" selected="0">
            <x v="5"/>
          </reference>
          <reference field="5" count="1" selected="0">
            <x v="30"/>
          </reference>
        </references>
      </pivotArea>
    </format>
    <format dxfId="50">
      <pivotArea dataOnly="0" labelOnly="1" outline="0" fieldPosition="0">
        <references count="4">
          <reference field="0" count="1" selected="0">
            <x v="5"/>
          </reference>
          <reference field="2" count="1">
            <x v="84"/>
          </reference>
          <reference field="4" count="1" selected="0">
            <x v="5"/>
          </reference>
          <reference field="5" count="1" selected="0">
            <x v="30"/>
          </reference>
        </references>
      </pivotArea>
    </format>
    <format dxfId="49">
      <pivotArea dataOnly="0" labelOnly="1" outline="0" fieldPosition="0">
        <references count="4">
          <reference field="0" count="1" selected="0">
            <x v="6"/>
          </reference>
          <reference field="2" count="1">
            <x v="66"/>
          </reference>
          <reference field="4" count="1" selected="0">
            <x v="5"/>
          </reference>
          <reference field="5" count="1" selected="0">
            <x v="30"/>
          </reference>
        </references>
      </pivotArea>
    </format>
    <format dxfId="48">
      <pivotArea dataOnly="0" labelOnly="1" outline="0" fieldPosition="0">
        <references count="4">
          <reference field="0" count="1" selected="0">
            <x v="7"/>
          </reference>
          <reference field="2" count="1">
            <x v="28"/>
          </reference>
          <reference field="4" count="1" selected="0">
            <x v="5"/>
          </reference>
          <reference field="5" count="1" selected="0">
            <x v="30"/>
          </reference>
        </references>
      </pivotArea>
    </format>
    <format dxfId="47">
      <pivotArea dataOnly="0" labelOnly="1" outline="0" fieldPosition="0">
        <references count="4">
          <reference field="0" count="1" selected="0">
            <x v="8"/>
          </reference>
          <reference field="2" count="1">
            <x v="59"/>
          </reference>
          <reference field="4" count="1" selected="0">
            <x v="5"/>
          </reference>
          <reference field="5" count="1" selected="0">
            <x v="30"/>
          </reference>
        </references>
      </pivotArea>
    </format>
    <format dxfId="46">
      <pivotArea dataOnly="0" labelOnly="1" outline="0" fieldPosition="0">
        <references count="4">
          <reference field="0" count="1" selected="0">
            <x v="9"/>
          </reference>
          <reference field="2" count="1">
            <x v="40"/>
          </reference>
          <reference field="4" count="1" selected="0">
            <x v="5"/>
          </reference>
          <reference field="5" count="1" selected="0">
            <x v="30"/>
          </reference>
        </references>
      </pivotArea>
    </format>
    <format dxfId="45">
      <pivotArea dataOnly="0" labelOnly="1" outline="0" fieldPosition="0">
        <references count="4">
          <reference field="0" count="1" selected="0">
            <x v="10"/>
          </reference>
          <reference field="2" count="1">
            <x v="53"/>
          </reference>
          <reference field="4" count="1" selected="0">
            <x v="5"/>
          </reference>
          <reference field="5" count="1" selected="0">
            <x v="30"/>
          </reference>
        </references>
      </pivotArea>
    </format>
    <format dxfId="44">
      <pivotArea dataOnly="0" labelOnly="1" outline="0" fieldPosition="0">
        <references count="4">
          <reference field="0" count="1" selected="0">
            <x v="21"/>
          </reference>
          <reference field="2" count="1">
            <x v="39"/>
          </reference>
          <reference field="4" count="1" selected="0">
            <x v="5"/>
          </reference>
          <reference field="5" count="1" selected="0">
            <x v="20"/>
          </reference>
        </references>
      </pivotArea>
    </format>
    <format dxfId="43">
      <pivotArea dataOnly="0" labelOnly="1" outline="0" fieldPosition="0">
        <references count="4">
          <reference field="0" count="1" selected="0">
            <x v="27"/>
          </reference>
          <reference field="2" count="1">
            <x v="25"/>
          </reference>
          <reference field="4" count="1" selected="0">
            <x v="5"/>
          </reference>
          <reference field="5" count="1" selected="0">
            <x v="30"/>
          </reference>
        </references>
      </pivotArea>
    </format>
    <format dxfId="42">
      <pivotArea dataOnly="0" labelOnly="1" outline="0" fieldPosition="0">
        <references count="4">
          <reference field="0" count="1" selected="0">
            <x v="31"/>
          </reference>
          <reference field="2" count="1">
            <x v="78"/>
          </reference>
          <reference field="4" count="1" selected="0">
            <x v="5"/>
          </reference>
          <reference field="5" count="1" selected="0">
            <x v="9"/>
          </reference>
        </references>
      </pivotArea>
    </format>
    <format dxfId="41">
      <pivotArea dataOnly="0" labelOnly="1" outline="0" fieldPosition="0">
        <references count="4">
          <reference field="0" count="1" selected="0">
            <x v="32"/>
          </reference>
          <reference field="2" count="1">
            <x v="38"/>
          </reference>
          <reference field="4" count="1" selected="0">
            <x v="5"/>
          </reference>
          <reference field="5" count="1" selected="0">
            <x v="10"/>
          </reference>
        </references>
      </pivotArea>
    </format>
    <format dxfId="40">
      <pivotArea dataOnly="0" labelOnly="1" outline="0" fieldPosition="0">
        <references count="4">
          <reference field="0" count="1" selected="0">
            <x v="33"/>
          </reference>
          <reference field="2" count="1">
            <x v="63"/>
          </reference>
          <reference field="4" count="1" selected="0">
            <x v="5"/>
          </reference>
          <reference field="5" count="1" selected="0">
            <x v="30"/>
          </reference>
        </references>
      </pivotArea>
    </format>
    <format dxfId="39">
      <pivotArea dataOnly="0" labelOnly="1" outline="0" fieldPosition="0">
        <references count="4">
          <reference field="0" count="1" selected="0">
            <x v="34"/>
          </reference>
          <reference field="2" count="1">
            <x v="36"/>
          </reference>
          <reference field="4" count="1" selected="0">
            <x v="5"/>
          </reference>
          <reference field="5" count="1" selected="0">
            <x v="30"/>
          </reference>
        </references>
      </pivotArea>
    </format>
    <format dxfId="38">
      <pivotArea dataOnly="0" labelOnly="1" outline="0" fieldPosition="0">
        <references count="4">
          <reference field="0" count="1" selected="0">
            <x v="35"/>
          </reference>
          <reference field="2" count="1">
            <x v="70"/>
          </reference>
          <reference field="4" count="1" selected="0">
            <x v="5"/>
          </reference>
          <reference field="5" count="1" selected="0">
            <x v="27"/>
          </reference>
        </references>
      </pivotArea>
    </format>
    <format dxfId="37">
      <pivotArea dataOnly="0" labelOnly="1" outline="0" fieldPosition="0">
        <references count="4">
          <reference field="0" count="1" selected="0">
            <x v="36"/>
          </reference>
          <reference field="2" count="1">
            <x v="50"/>
          </reference>
          <reference field="4" count="1" selected="0">
            <x v="5"/>
          </reference>
          <reference field="5" count="1" selected="0">
            <x v="30"/>
          </reference>
        </references>
      </pivotArea>
    </format>
    <format dxfId="36">
      <pivotArea dataOnly="0" labelOnly="1" outline="0" fieldPosition="0">
        <references count="4">
          <reference field="0" count="1" selected="0">
            <x v="100"/>
          </reference>
          <reference field="2" count="1">
            <x v="10"/>
          </reference>
          <reference field="4" count="1" selected="0">
            <x v="5"/>
          </reference>
          <reference field="5" count="1" selected="0">
            <x v="30"/>
          </reference>
        </references>
      </pivotArea>
    </format>
    <format dxfId="35">
      <pivotArea dataOnly="0" labelOnly="1" outline="0" fieldPosition="0">
        <references count="4">
          <reference field="0" count="1" selected="0">
            <x v="25"/>
          </reference>
          <reference field="2" count="1">
            <x v="74"/>
          </reference>
          <reference field="4" count="1" selected="0">
            <x v="6"/>
          </reference>
          <reference field="5" count="1" selected="0">
            <x v="30"/>
          </reference>
        </references>
      </pivotArea>
    </format>
    <format dxfId="34">
      <pivotArea dataOnly="0" labelOnly="1" outline="0" fieldPosition="0">
        <references count="4">
          <reference field="0" count="1" selected="0">
            <x v="26"/>
          </reference>
          <reference field="2" count="1">
            <x v="65"/>
          </reference>
          <reference field="4" count="1" selected="0">
            <x v="6"/>
          </reference>
          <reference field="5" count="1" selected="0">
            <x v="30"/>
          </reference>
        </references>
      </pivotArea>
    </format>
    <format dxfId="33">
      <pivotArea dataOnly="0" labelOnly="1" outline="0" fieldPosition="0">
        <references count="4">
          <reference field="0" count="1" selected="0">
            <x v="42"/>
          </reference>
          <reference field="2" count="1">
            <x v="44"/>
          </reference>
          <reference field="4" count="1" selected="0">
            <x v="6"/>
          </reference>
          <reference field="5" count="1" selected="0">
            <x v="30"/>
          </reference>
        </references>
      </pivotArea>
    </format>
    <format dxfId="32">
      <pivotArea dataOnly="0" labelOnly="1" outline="0" fieldPosition="0">
        <references count="4">
          <reference field="0" count="1" selected="0">
            <x v="45"/>
          </reference>
          <reference field="2" count="1">
            <x v="75"/>
          </reference>
          <reference field="4" count="1" selected="0">
            <x v="6"/>
          </reference>
          <reference field="5" count="1" selected="0">
            <x v="30"/>
          </reference>
        </references>
      </pivotArea>
    </format>
    <format dxfId="31">
      <pivotArea dataOnly="0" labelOnly="1" outline="0" fieldPosition="0">
        <references count="4">
          <reference field="0" count="1" selected="0">
            <x v="60"/>
          </reference>
          <reference field="2" count="1">
            <x v="29"/>
          </reference>
          <reference field="4" count="1" selected="0">
            <x v="6"/>
          </reference>
          <reference field="5" count="1" selected="0">
            <x v="26"/>
          </reference>
        </references>
      </pivotArea>
    </format>
    <format dxfId="30">
      <pivotArea dataOnly="0" labelOnly="1" outline="0" fieldPosition="0">
        <references count="4">
          <reference field="0" count="1" selected="0">
            <x v="66"/>
          </reference>
          <reference field="2" count="1">
            <x v="30"/>
          </reference>
          <reference field="4" count="1" selected="0">
            <x v="6"/>
          </reference>
          <reference field="5" count="1" selected="0">
            <x v="30"/>
          </reference>
        </references>
      </pivotArea>
    </format>
    <format dxfId="29">
      <pivotArea dataOnly="0" labelOnly="1" outline="0" fieldPosition="0">
        <references count="4">
          <reference field="0" count="1" selected="0">
            <x v="67"/>
          </reference>
          <reference field="2" count="1">
            <x v="18"/>
          </reference>
          <reference field="4" count="1" selected="0">
            <x v="6"/>
          </reference>
          <reference field="5" count="1" selected="0">
            <x v="30"/>
          </reference>
        </references>
      </pivotArea>
    </format>
    <format dxfId="28">
      <pivotArea dataOnly="0" labelOnly="1" outline="0" fieldPosition="0">
        <references count="4">
          <reference field="0" count="1" selected="0">
            <x v="71"/>
          </reference>
          <reference field="2" count="1">
            <x v="61"/>
          </reference>
          <reference field="4" count="1" selected="0">
            <x v="6"/>
          </reference>
          <reference field="5" count="1" selected="0">
            <x v="25"/>
          </reference>
        </references>
      </pivotArea>
    </format>
    <format dxfId="27">
      <pivotArea dataOnly="0" labelOnly="1" outline="0" fieldPosition="0">
        <references count="4">
          <reference field="0" count="1" selected="0">
            <x v="75"/>
          </reference>
          <reference field="2" count="1">
            <x v="76"/>
          </reference>
          <reference field="4" count="1" selected="0">
            <x v="6"/>
          </reference>
          <reference field="5" count="1" selected="0">
            <x v="30"/>
          </reference>
        </references>
      </pivotArea>
    </format>
    <format dxfId="26">
      <pivotArea dataOnly="0" labelOnly="1" outline="0" fieldPosition="0">
        <references count="4">
          <reference field="0" count="1" selected="0">
            <x v="93"/>
          </reference>
          <reference field="2" count="1">
            <x v="33"/>
          </reference>
          <reference field="4" count="1" selected="0">
            <x v="6"/>
          </reference>
          <reference field="5" count="1" selected="0">
            <x v="18"/>
          </reference>
        </references>
      </pivotArea>
    </format>
    <format dxfId="25">
      <pivotArea dataOnly="0" labelOnly="1" outline="0" fieldPosition="0">
        <references count="4">
          <reference field="0" count="1" selected="0">
            <x v="4"/>
          </reference>
          <reference field="2" count="1">
            <x v="86"/>
          </reference>
          <reference field="4" count="1" selected="0">
            <x v="7"/>
          </reference>
          <reference field="5" count="1" selected="0">
            <x v="30"/>
          </reference>
        </references>
      </pivotArea>
    </format>
    <format dxfId="24">
      <pivotArea dataOnly="0" labelOnly="1" outline="0" fieldPosition="0">
        <references count="4">
          <reference field="0" count="1" selected="0">
            <x v="43"/>
          </reference>
          <reference field="2" count="1">
            <x v="31"/>
          </reference>
          <reference field="4" count="1" selected="0">
            <x v="7"/>
          </reference>
          <reference field="5" count="1" selected="0">
            <x v="29"/>
          </reference>
        </references>
      </pivotArea>
    </format>
    <format dxfId="23">
      <pivotArea dataOnly="0" labelOnly="1" outline="0" fieldPosition="0">
        <references count="4">
          <reference field="0" count="1" selected="0">
            <x v="76"/>
          </reference>
          <reference field="2" count="1">
            <x v="17"/>
          </reference>
          <reference field="4" count="1" selected="0">
            <x v="7"/>
          </reference>
          <reference field="5" count="1" selected="0">
            <x v="30"/>
          </reference>
        </references>
      </pivotArea>
    </format>
    <format dxfId="22">
      <pivotArea dataOnly="0" labelOnly="1" outline="0" fieldPosition="0">
        <references count="4">
          <reference field="0" count="1" selected="0">
            <x v="77"/>
          </reference>
          <reference field="2" count="1">
            <x v="8"/>
          </reference>
          <reference field="4" count="1" selected="0">
            <x v="7"/>
          </reference>
          <reference field="5" count="1" selected="0">
            <x v="30"/>
          </reference>
        </references>
      </pivotArea>
    </format>
    <format dxfId="21">
      <pivotArea dataOnly="0" labelOnly="1" outline="0" fieldPosition="0">
        <references count="4">
          <reference field="0" count="1" selected="0">
            <x v="78"/>
          </reference>
          <reference field="2" count="1">
            <x v="7"/>
          </reference>
          <reference field="4" count="1" selected="0">
            <x v="7"/>
          </reference>
          <reference field="5" count="1" selected="0">
            <x v="30"/>
          </reference>
        </references>
      </pivotArea>
    </format>
    <format dxfId="20">
      <pivotArea dataOnly="0" labelOnly="1" outline="0" fieldPosition="0">
        <references count="4">
          <reference field="0" count="1" selected="0">
            <x v="79"/>
          </reference>
          <reference field="2" count="1">
            <x v="9"/>
          </reference>
          <reference field="4" count="1" selected="0">
            <x v="7"/>
          </reference>
          <reference field="5" count="1" selected="0">
            <x v="30"/>
          </reference>
        </references>
      </pivotArea>
    </format>
    <format dxfId="19">
      <pivotArea dataOnly="0" labelOnly="1" outline="0" fieldPosition="0">
        <references count="4">
          <reference field="0" count="1" selected="0">
            <x v="85"/>
          </reference>
          <reference field="2" count="1">
            <x v="34"/>
          </reference>
          <reference field="4" count="1" selected="0">
            <x v="7"/>
          </reference>
          <reference field="5" count="1" selected="0">
            <x v="30"/>
          </reference>
        </references>
      </pivotArea>
    </format>
  </formats>
  <pivotTableStyleInfo name="PivotStyleLight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CD6D58-4BEF-4CE4-9B40-E32B3C7CBBCA}" name="PurchaseOrder" displayName="PurchaseOrder" ref="D6:K10" totalsRowShown="0" headerRowDxfId="18" dataDxfId="17">
  <tableColumns count="8">
    <tableColumn id="1" xr3:uid="{E4C7CB5C-978F-4A54-87A6-D7E63A3E0F32}" name="Description" dataDxfId="16"/>
    <tableColumn id="5" xr3:uid="{C374842F-0F68-46B6-AE8D-A5D1F5A337DE}" name="Specs" dataDxfId="15"/>
    <tableColumn id="2" xr3:uid="{2AA3720C-9BD1-4290-9051-62B724EA7805}" name="Quantity" dataDxfId="14"/>
    <tableColumn id="3" xr3:uid="{3CD2CFA6-0EF1-4B10-9CCB-74FB7B339888}" name="Unit $" dataDxfId="13"/>
    <tableColumn id="7" xr3:uid="{44FA0C7C-5114-4A10-B37F-0C74F9B6505A}" name="Out of Stock" dataDxfId="12"/>
    <tableColumn id="8" xr3:uid="{96BEB8F9-9A73-489C-B041-0C3365B3657D}" name="ID" dataDxfId="11"/>
    <tableColumn id="6" xr3:uid="{A8E2349F-7264-4182-A782-BE8BAA18F483}" name="Terms" dataDxfId="10"/>
    <tableColumn id="4" xr3:uid="{86AFD58A-3C5E-4B80-9BFF-56A6D7B7CC17}" name="Subtotal" dataDxfId="9">
      <calculatedColumnFormula>PurchaseOrder[[#This Row],[Unit $]]*PurchaseOrder[[#This Row],[Quantity]]</calculatedColumnFormula>
    </tableColumn>
  </tableColumns>
  <tableStyleInfo name="TableStyleMedium20" showFirstColumn="1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375F8-78DA-45C1-A268-5786BDD03FC2}">
  <sheetPr codeName="Sheet13">
    <tabColor rgb="FFFFC000"/>
  </sheetPr>
  <dimension ref="A1:F371"/>
  <sheetViews>
    <sheetView zoomScale="92" zoomScaleNormal="37" workbookViewId="0">
      <pane ySplit="1" topLeftCell="A2" activePane="bottomLeft" state="frozen"/>
      <selection pane="bottomLeft" activeCell="B4" sqref="B4"/>
    </sheetView>
  </sheetViews>
  <sheetFormatPr baseColWidth="10" defaultColWidth="9.1640625" defaultRowHeight="15" x14ac:dyDescent="0.2"/>
  <cols>
    <col min="1" max="1" width="48" style="1" customWidth="1"/>
    <col min="2" max="2" width="45" style="1" customWidth="1"/>
    <col min="3" max="3" width="31.33203125" style="1" customWidth="1"/>
    <col min="4" max="4" width="19.83203125" style="1" customWidth="1"/>
    <col min="5" max="5" width="18.33203125" style="1" bestFit="1" customWidth="1"/>
    <col min="6" max="6" width="27.83203125" style="1" bestFit="1" customWidth="1"/>
    <col min="7" max="16384" width="9.1640625" style="1"/>
  </cols>
  <sheetData>
    <row r="1" spans="1:6" s="14" customFormat="1" ht="61.5" customHeight="1" x14ac:dyDescent="0.7">
      <c r="A1" s="25" t="s">
        <v>2</v>
      </c>
      <c r="B1" s="26"/>
      <c r="C1" s="26"/>
      <c r="D1" s="26"/>
      <c r="E1" s="26"/>
      <c r="F1" s="26"/>
    </row>
    <row r="2" spans="1:6" ht="19" x14ac:dyDescent="0.25">
      <c r="A2" s="6" t="s">
        <v>4</v>
      </c>
      <c r="B2" s="6" t="s">
        <v>3</v>
      </c>
      <c r="C2" s="6" t="s">
        <v>12</v>
      </c>
      <c r="D2" s="6" t="s">
        <v>10</v>
      </c>
      <c r="E2" s="6" t="s">
        <v>11</v>
      </c>
      <c r="F2" s="6" t="s">
        <v>35</v>
      </c>
    </row>
    <row r="3" spans="1:6" ht="19" x14ac:dyDescent="0.25">
      <c r="A3" s="7" t="s">
        <v>716</v>
      </c>
      <c r="B3" s="7" t="s">
        <v>717</v>
      </c>
      <c r="C3" s="7" t="s">
        <v>718</v>
      </c>
      <c r="D3" s="7">
        <v>0.05</v>
      </c>
      <c r="E3" s="7" t="s">
        <v>15</v>
      </c>
      <c r="F3" s="7" t="s">
        <v>719</v>
      </c>
    </row>
    <row r="4" spans="1:6" ht="19" x14ac:dyDescent="0.25">
      <c r="A4" s="7"/>
      <c r="B4" s="7" t="s">
        <v>720</v>
      </c>
      <c r="C4" s="7" t="s">
        <v>721</v>
      </c>
      <c r="D4" s="7">
        <v>0.05</v>
      </c>
      <c r="E4" s="7" t="s">
        <v>15</v>
      </c>
      <c r="F4" s="7" t="s">
        <v>722</v>
      </c>
    </row>
    <row r="5" spans="1:6" ht="19" x14ac:dyDescent="0.25">
      <c r="A5" s="7"/>
      <c r="B5" s="7" t="s">
        <v>723</v>
      </c>
      <c r="C5" s="7" t="s">
        <v>724</v>
      </c>
      <c r="D5" s="7">
        <v>0.05</v>
      </c>
      <c r="E5" s="7" t="s">
        <v>15</v>
      </c>
      <c r="F5" s="7" t="s">
        <v>725</v>
      </c>
    </row>
    <row r="6" spans="1:6" ht="19" x14ac:dyDescent="0.25">
      <c r="A6" s="7"/>
      <c r="B6" s="7" t="s">
        <v>726</v>
      </c>
      <c r="C6" s="7" t="s">
        <v>727</v>
      </c>
      <c r="D6" s="7">
        <v>0.05</v>
      </c>
      <c r="E6" s="7" t="s">
        <v>15</v>
      </c>
      <c r="F6" s="7" t="s">
        <v>728</v>
      </c>
    </row>
    <row r="7" spans="1:6" ht="19" x14ac:dyDescent="0.25">
      <c r="A7" s="7"/>
      <c r="B7" s="7" t="s">
        <v>729</v>
      </c>
      <c r="C7" s="7" t="s">
        <v>730</v>
      </c>
      <c r="D7" s="7">
        <v>0.05</v>
      </c>
      <c r="E7" s="7" t="s">
        <v>15</v>
      </c>
      <c r="F7" s="7" t="s">
        <v>731</v>
      </c>
    </row>
    <row r="8" spans="1:6" ht="19" x14ac:dyDescent="0.25">
      <c r="A8" s="7"/>
      <c r="B8" s="7" t="s">
        <v>732</v>
      </c>
      <c r="C8" s="7" t="s">
        <v>733</v>
      </c>
      <c r="D8" s="7">
        <v>1.2</v>
      </c>
      <c r="E8" s="7" t="s">
        <v>17</v>
      </c>
      <c r="F8" s="7" t="s">
        <v>734</v>
      </c>
    </row>
    <row r="9" spans="1:6" ht="19" x14ac:dyDescent="0.25">
      <c r="A9" s="7" t="s">
        <v>735</v>
      </c>
      <c r="B9" s="7" t="s">
        <v>736</v>
      </c>
      <c r="C9" s="7" t="s">
        <v>737</v>
      </c>
      <c r="D9" s="7">
        <v>0.46</v>
      </c>
      <c r="E9" s="7" t="s">
        <v>15</v>
      </c>
      <c r="F9" s="7" t="s">
        <v>738</v>
      </c>
    </row>
    <row r="10" spans="1:6" ht="19" x14ac:dyDescent="0.25">
      <c r="A10" s="7"/>
      <c r="B10" s="7" t="s">
        <v>739</v>
      </c>
      <c r="C10" s="7" t="s">
        <v>740</v>
      </c>
      <c r="D10" s="7">
        <v>0.17</v>
      </c>
      <c r="E10" s="7" t="s">
        <v>15</v>
      </c>
      <c r="F10" s="7" t="s">
        <v>741</v>
      </c>
    </row>
    <row r="11" spans="1:6" ht="19" x14ac:dyDescent="0.25">
      <c r="A11" s="7"/>
      <c r="B11" s="7" t="s">
        <v>742</v>
      </c>
      <c r="C11" s="7" t="s">
        <v>737</v>
      </c>
      <c r="D11" s="7">
        <v>0.93</v>
      </c>
      <c r="E11" s="7" t="s">
        <v>15</v>
      </c>
      <c r="F11" s="7" t="s">
        <v>743</v>
      </c>
    </row>
    <row r="12" spans="1:6" ht="19" x14ac:dyDescent="0.25">
      <c r="A12" s="7"/>
      <c r="B12" s="7" t="s">
        <v>744</v>
      </c>
      <c r="C12" s="7" t="s">
        <v>745</v>
      </c>
      <c r="D12" s="7">
        <v>1.38</v>
      </c>
      <c r="E12" s="7" t="s">
        <v>15</v>
      </c>
      <c r="F12" s="7" t="s">
        <v>746</v>
      </c>
    </row>
    <row r="13" spans="1:6" ht="19" x14ac:dyDescent="0.25">
      <c r="A13" s="7"/>
      <c r="B13" s="7" t="s">
        <v>747</v>
      </c>
      <c r="C13" s="7" t="s">
        <v>748</v>
      </c>
      <c r="D13" s="7">
        <v>2.06</v>
      </c>
      <c r="E13" s="7" t="s">
        <v>15</v>
      </c>
      <c r="F13" s="7" t="s">
        <v>749</v>
      </c>
    </row>
    <row r="14" spans="1:6" ht="19" x14ac:dyDescent="0.25">
      <c r="A14" s="7"/>
      <c r="B14" s="7" t="s">
        <v>750</v>
      </c>
      <c r="C14" s="7" t="s">
        <v>751</v>
      </c>
      <c r="D14" s="7">
        <v>3.03</v>
      </c>
      <c r="E14" s="7" t="s">
        <v>15</v>
      </c>
      <c r="F14" s="7" t="s">
        <v>752</v>
      </c>
    </row>
    <row r="15" spans="1:6" ht="19" x14ac:dyDescent="0.25">
      <c r="A15" s="7"/>
      <c r="B15" s="7" t="s">
        <v>753</v>
      </c>
      <c r="C15" s="7" t="s">
        <v>15</v>
      </c>
      <c r="D15" s="7">
        <v>0.21</v>
      </c>
      <c r="E15" s="7" t="s">
        <v>17</v>
      </c>
      <c r="F15" s="7" t="s">
        <v>754</v>
      </c>
    </row>
    <row r="16" spans="1:6" ht="19" x14ac:dyDescent="0.25">
      <c r="A16" s="7"/>
      <c r="B16" s="7" t="s">
        <v>755</v>
      </c>
      <c r="C16" s="7" t="s">
        <v>745</v>
      </c>
      <c r="D16" s="7">
        <v>0.82</v>
      </c>
      <c r="E16" s="7" t="s">
        <v>15</v>
      </c>
      <c r="F16" s="7" t="s">
        <v>756</v>
      </c>
    </row>
    <row r="17" spans="1:6" ht="19" x14ac:dyDescent="0.25">
      <c r="A17" s="7" t="s">
        <v>757</v>
      </c>
      <c r="B17" s="7" t="s">
        <v>758</v>
      </c>
      <c r="C17" s="7" t="s">
        <v>759</v>
      </c>
      <c r="D17" s="7">
        <v>0.21</v>
      </c>
      <c r="E17" s="7" t="s">
        <v>15</v>
      </c>
      <c r="F17" s="7" t="s">
        <v>760</v>
      </c>
    </row>
    <row r="18" spans="1:6" ht="19" x14ac:dyDescent="0.25">
      <c r="A18" s="7"/>
      <c r="B18" s="7" t="s">
        <v>761</v>
      </c>
      <c r="C18" s="7" t="s">
        <v>762</v>
      </c>
      <c r="D18" s="7">
        <v>0.16</v>
      </c>
      <c r="E18" s="7" t="s">
        <v>15</v>
      </c>
      <c r="F18" s="7" t="s">
        <v>763</v>
      </c>
    </row>
    <row r="19" spans="1:6" ht="19" x14ac:dyDescent="0.25">
      <c r="A19" s="7"/>
      <c r="B19" s="7" t="s">
        <v>764</v>
      </c>
      <c r="C19" s="7" t="s">
        <v>765</v>
      </c>
      <c r="D19" s="7">
        <v>0.16</v>
      </c>
      <c r="E19" s="7" t="s">
        <v>15</v>
      </c>
      <c r="F19" s="7" t="s">
        <v>766</v>
      </c>
    </row>
    <row r="20" spans="1:6" ht="19" x14ac:dyDescent="0.25">
      <c r="A20" s="7"/>
      <c r="B20" s="7" t="s">
        <v>767</v>
      </c>
      <c r="C20" s="7" t="s">
        <v>745</v>
      </c>
      <c r="D20" s="7">
        <v>1.9</v>
      </c>
      <c r="E20" s="7" t="s">
        <v>19</v>
      </c>
      <c r="F20" s="7" t="s">
        <v>768</v>
      </c>
    </row>
    <row r="21" spans="1:6" ht="19" x14ac:dyDescent="0.25">
      <c r="A21" s="7"/>
      <c r="B21" s="7" t="s">
        <v>769</v>
      </c>
      <c r="C21" s="7" t="s">
        <v>770</v>
      </c>
      <c r="D21" s="7">
        <v>0.16</v>
      </c>
      <c r="E21" s="7" t="s">
        <v>15</v>
      </c>
      <c r="F21" s="7" t="s">
        <v>771</v>
      </c>
    </row>
    <row r="22" spans="1:6" ht="19" x14ac:dyDescent="0.25">
      <c r="A22" s="7"/>
      <c r="B22" s="7" t="s">
        <v>772</v>
      </c>
      <c r="C22" s="7" t="s">
        <v>773</v>
      </c>
      <c r="D22" s="7">
        <v>0.19</v>
      </c>
      <c r="E22" s="7" t="s">
        <v>15</v>
      </c>
      <c r="F22" s="7" t="s">
        <v>774</v>
      </c>
    </row>
    <row r="23" spans="1:6" ht="19" x14ac:dyDescent="0.25">
      <c r="A23" s="7"/>
      <c r="B23" s="7" t="s">
        <v>775</v>
      </c>
      <c r="C23" s="7" t="s">
        <v>776</v>
      </c>
      <c r="D23" s="7">
        <v>7.0000000000000007E-2</v>
      </c>
      <c r="E23" s="7" t="s">
        <v>15</v>
      </c>
      <c r="F23" s="7" t="s">
        <v>777</v>
      </c>
    </row>
    <row r="24" spans="1:6" ht="19" x14ac:dyDescent="0.25">
      <c r="A24" s="7"/>
      <c r="B24" s="7" t="s">
        <v>778</v>
      </c>
      <c r="C24" s="7" t="s">
        <v>779</v>
      </c>
      <c r="D24" s="7">
        <v>0.16</v>
      </c>
      <c r="E24" s="7" t="s">
        <v>15</v>
      </c>
      <c r="F24" s="7" t="s">
        <v>780</v>
      </c>
    </row>
    <row r="25" spans="1:6" ht="19" x14ac:dyDescent="0.25">
      <c r="A25" s="7"/>
      <c r="B25" s="7" t="s">
        <v>781</v>
      </c>
      <c r="C25" s="7" t="s">
        <v>782</v>
      </c>
      <c r="D25" s="7">
        <v>0.12</v>
      </c>
      <c r="E25" s="7" t="s">
        <v>15</v>
      </c>
      <c r="F25" s="7" t="s">
        <v>783</v>
      </c>
    </row>
    <row r="26" spans="1:6" ht="19" x14ac:dyDescent="0.25">
      <c r="A26" s="7"/>
      <c r="B26" s="7" t="s">
        <v>784</v>
      </c>
      <c r="C26" s="7" t="s">
        <v>785</v>
      </c>
      <c r="D26" s="7">
        <v>0.18</v>
      </c>
      <c r="E26" s="7" t="s">
        <v>15</v>
      </c>
      <c r="F26" s="7" t="s">
        <v>786</v>
      </c>
    </row>
    <row r="27" spans="1:6" ht="19" x14ac:dyDescent="0.25">
      <c r="A27" s="7"/>
      <c r="B27" s="7" t="s">
        <v>787</v>
      </c>
      <c r="C27" s="7" t="s">
        <v>15</v>
      </c>
      <c r="D27" s="7">
        <v>0.22</v>
      </c>
      <c r="E27" s="7" t="s">
        <v>15</v>
      </c>
      <c r="F27" s="7" t="s">
        <v>788</v>
      </c>
    </row>
    <row r="28" spans="1:6" ht="19" x14ac:dyDescent="0.25">
      <c r="A28" s="7"/>
      <c r="B28" s="7" t="s">
        <v>789</v>
      </c>
      <c r="C28" s="7" t="s">
        <v>790</v>
      </c>
      <c r="D28" s="7">
        <v>7.0000000000000007E-2</v>
      </c>
      <c r="E28" s="7" t="s">
        <v>15</v>
      </c>
      <c r="F28" s="7" t="s">
        <v>791</v>
      </c>
    </row>
    <row r="29" spans="1:6" ht="19" x14ac:dyDescent="0.25">
      <c r="A29" s="7"/>
      <c r="B29" s="7" t="s">
        <v>792</v>
      </c>
      <c r="C29" s="7" t="s">
        <v>15</v>
      </c>
      <c r="D29" s="7">
        <v>0.11</v>
      </c>
      <c r="E29" s="7" t="s">
        <v>19</v>
      </c>
      <c r="F29" s="7" t="s">
        <v>793</v>
      </c>
    </row>
    <row r="30" spans="1:6" ht="19" x14ac:dyDescent="0.25">
      <c r="A30" s="7"/>
      <c r="B30" s="7" t="s">
        <v>794</v>
      </c>
      <c r="C30" s="7" t="s">
        <v>15</v>
      </c>
      <c r="D30" s="7">
        <v>0.08</v>
      </c>
      <c r="E30" s="7" t="s">
        <v>15</v>
      </c>
      <c r="F30" s="7" t="s">
        <v>795</v>
      </c>
    </row>
    <row r="31" spans="1:6" ht="19" x14ac:dyDescent="0.25">
      <c r="A31" s="7"/>
      <c r="B31" s="7" t="s">
        <v>796</v>
      </c>
      <c r="C31" s="7" t="s">
        <v>797</v>
      </c>
      <c r="D31" s="7">
        <v>0.11</v>
      </c>
      <c r="E31" s="7" t="s">
        <v>15</v>
      </c>
      <c r="F31" s="7" t="s">
        <v>798</v>
      </c>
    </row>
    <row r="32" spans="1:6" ht="19" x14ac:dyDescent="0.25">
      <c r="A32" s="7"/>
      <c r="B32" s="7" t="s">
        <v>799</v>
      </c>
      <c r="C32" s="7" t="s">
        <v>800</v>
      </c>
      <c r="D32" s="7">
        <v>0.16</v>
      </c>
      <c r="E32" s="7" t="s">
        <v>15</v>
      </c>
      <c r="F32" s="7" t="s">
        <v>801</v>
      </c>
    </row>
    <row r="33" spans="1:6" ht="19" x14ac:dyDescent="0.25">
      <c r="A33" s="7"/>
      <c r="B33" s="7" t="s">
        <v>802</v>
      </c>
      <c r="C33" s="7" t="s">
        <v>803</v>
      </c>
      <c r="D33" s="7">
        <v>0.14000000000000001</v>
      </c>
      <c r="E33" s="7" t="s">
        <v>15</v>
      </c>
      <c r="F33" s="7" t="s">
        <v>804</v>
      </c>
    </row>
    <row r="34" spans="1:6" ht="19" x14ac:dyDescent="0.25">
      <c r="A34" s="7"/>
      <c r="B34" s="7" t="s">
        <v>805</v>
      </c>
      <c r="C34" s="7" t="s">
        <v>806</v>
      </c>
      <c r="D34" s="7">
        <v>0.05</v>
      </c>
      <c r="E34" s="7" t="s">
        <v>15</v>
      </c>
      <c r="F34" s="7" t="s">
        <v>807</v>
      </c>
    </row>
    <row r="35" spans="1:6" ht="19" x14ac:dyDescent="0.25">
      <c r="A35" s="7"/>
      <c r="B35" s="7" t="s">
        <v>808</v>
      </c>
      <c r="C35" s="7" t="s">
        <v>809</v>
      </c>
      <c r="D35" s="7">
        <v>0.16</v>
      </c>
      <c r="E35" s="7" t="s">
        <v>15</v>
      </c>
      <c r="F35" s="7" t="s">
        <v>810</v>
      </c>
    </row>
    <row r="36" spans="1:6" ht="19" x14ac:dyDescent="0.25">
      <c r="A36" s="7"/>
      <c r="B36" s="7" t="s">
        <v>811</v>
      </c>
      <c r="C36" s="7" t="s">
        <v>15</v>
      </c>
      <c r="D36" s="7" t="s">
        <v>15</v>
      </c>
      <c r="E36" s="7" t="s">
        <v>17</v>
      </c>
      <c r="F36" s="7" t="s">
        <v>812</v>
      </c>
    </row>
    <row r="37" spans="1:6" ht="19" x14ac:dyDescent="0.25">
      <c r="A37" s="7"/>
      <c r="B37" s="7" t="s">
        <v>813</v>
      </c>
      <c r="C37" s="7" t="s">
        <v>814</v>
      </c>
      <c r="D37" s="7">
        <v>0.12</v>
      </c>
      <c r="E37" s="7" t="s">
        <v>15</v>
      </c>
      <c r="F37" s="7" t="s">
        <v>815</v>
      </c>
    </row>
    <row r="38" spans="1:6" ht="19" x14ac:dyDescent="0.25">
      <c r="A38" s="7"/>
      <c r="B38" s="7" t="s">
        <v>816</v>
      </c>
      <c r="C38" s="7" t="s">
        <v>817</v>
      </c>
      <c r="D38" s="7">
        <v>7.0000000000000007E-2</v>
      </c>
      <c r="E38" s="7" t="s">
        <v>15</v>
      </c>
      <c r="F38" s="7" t="s">
        <v>818</v>
      </c>
    </row>
    <row r="39" spans="1:6" ht="19" x14ac:dyDescent="0.25">
      <c r="A39" s="7"/>
      <c r="B39" s="7" t="s">
        <v>819</v>
      </c>
      <c r="C39" s="7" t="s">
        <v>820</v>
      </c>
      <c r="D39" s="7">
        <v>0.15</v>
      </c>
      <c r="E39" s="7" t="s">
        <v>15</v>
      </c>
      <c r="F39" s="7" t="s">
        <v>821</v>
      </c>
    </row>
    <row r="40" spans="1:6" ht="19" x14ac:dyDescent="0.25">
      <c r="A40" s="7"/>
      <c r="B40" s="7" t="s">
        <v>822</v>
      </c>
      <c r="C40" s="7" t="s">
        <v>823</v>
      </c>
      <c r="D40" s="7">
        <v>0.12</v>
      </c>
      <c r="E40" s="7" t="s">
        <v>15</v>
      </c>
      <c r="F40" s="7" t="s">
        <v>824</v>
      </c>
    </row>
    <row r="41" spans="1:6" ht="19" x14ac:dyDescent="0.25">
      <c r="A41" s="7"/>
      <c r="B41" s="7" t="s">
        <v>825</v>
      </c>
      <c r="C41" s="7" t="s">
        <v>826</v>
      </c>
      <c r="D41" s="7">
        <v>0.14000000000000001</v>
      </c>
      <c r="E41" s="7" t="s">
        <v>15</v>
      </c>
      <c r="F41" s="7" t="s">
        <v>827</v>
      </c>
    </row>
    <row r="42" spans="1:6" ht="19" x14ac:dyDescent="0.25">
      <c r="A42" s="7"/>
      <c r="B42" s="7" t="s">
        <v>828</v>
      </c>
      <c r="C42" s="7" t="s">
        <v>829</v>
      </c>
      <c r="D42" s="7">
        <v>0.25</v>
      </c>
      <c r="E42" s="7" t="s">
        <v>15</v>
      </c>
      <c r="F42" s="7" t="s">
        <v>830</v>
      </c>
    </row>
    <row r="43" spans="1:6" ht="19" x14ac:dyDescent="0.25">
      <c r="A43" s="7"/>
      <c r="B43" s="7" t="s">
        <v>831</v>
      </c>
      <c r="C43" s="7" t="s">
        <v>832</v>
      </c>
      <c r="D43" s="7">
        <v>0.09</v>
      </c>
      <c r="E43" s="7" t="s">
        <v>19</v>
      </c>
      <c r="F43" s="7" t="s">
        <v>833</v>
      </c>
    </row>
    <row r="44" spans="1:6" ht="19" x14ac:dyDescent="0.25">
      <c r="A44" s="7"/>
      <c r="B44" s="7" t="s">
        <v>834</v>
      </c>
      <c r="C44" s="7" t="s">
        <v>835</v>
      </c>
      <c r="D44" s="7">
        <v>0.12</v>
      </c>
      <c r="E44" s="7" t="s">
        <v>17</v>
      </c>
      <c r="F44" s="7" t="s">
        <v>836</v>
      </c>
    </row>
    <row r="45" spans="1:6" ht="19" x14ac:dyDescent="0.25">
      <c r="A45" s="7"/>
      <c r="B45" s="7" t="s">
        <v>837</v>
      </c>
      <c r="C45" s="7" t="s">
        <v>838</v>
      </c>
      <c r="D45" s="7">
        <v>0.11</v>
      </c>
      <c r="E45" s="7" t="s">
        <v>19</v>
      </c>
      <c r="F45" s="7" t="s">
        <v>839</v>
      </c>
    </row>
    <row r="46" spans="1:6" ht="19" x14ac:dyDescent="0.25">
      <c r="A46" s="7"/>
      <c r="B46" s="7" t="s">
        <v>840</v>
      </c>
      <c r="C46" s="7" t="s">
        <v>826</v>
      </c>
      <c r="D46" s="7">
        <v>0.31</v>
      </c>
      <c r="E46" s="7" t="s">
        <v>17</v>
      </c>
      <c r="F46" s="7" t="s">
        <v>841</v>
      </c>
    </row>
    <row r="47" spans="1:6" ht="19" x14ac:dyDescent="0.25">
      <c r="A47" s="7"/>
      <c r="B47" s="7" t="s">
        <v>842</v>
      </c>
      <c r="C47" s="7" t="s">
        <v>826</v>
      </c>
      <c r="D47" s="7">
        <v>0.35</v>
      </c>
      <c r="E47" s="7" t="s">
        <v>17</v>
      </c>
      <c r="F47" s="7" t="s">
        <v>843</v>
      </c>
    </row>
    <row r="48" spans="1:6" ht="19" x14ac:dyDescent="0.25">
      <c r="A48" s="7"/>
      <c r="B48" s="7" t="s">
        <v>844</v>
      </c>
      <c r="C48" s="7" t="s">
        <v>15</v>
      </c>
      <c r="D48" s="7" t="s">
        <v>15</v>
      </c>
      <c r="E48" s="7" t="s">
        <v>15</v>
      </c>
      <c r="F48" s="7" t="s">
        <v>845</v>
      </c>
    </row>
    <row r="49" spans="1:6" ht="19" x14ac:dyDescent="0.25">
      <c r="A49" s="7"/>
      <c r="B49" s="7" t="s">
        <v>846</v>
      </c>
      <c r="C49" s="7" t="s">
        <v>847</v>
      </c>
      <c r="D49" s="7">
        <v>0.23</v>
      </c>
      <c r="E49" s="7" t="s">
        <v>15</v>
      </c>
      <c r="F49" s="7" t="s">
        <v>848</v>
      </c>
    </row>
    <row r="50" spans="1:6" ht="19" x14ac:dyDescent="0.25">
      <c r="A50" s="7"/>
      <c r="B50" s="7" t="s">
        <v>849</v>
      </c>
      <c r="C50" s="7" t="s">
        <v>850</v>
      </c>
      <c r="D50" s="7">
        <v>0.2</v>
      </c>
      <c r="E50" s="7" t="s">
        <v>15</v>
      </c>
      <c r="F50" s="7" t="s">
        <v>851</v>
      </c>
    </row>
    <row r="51" spans="1:6" ht="19" x14ac:dyDescent="0.25">
      <c r="A51" s="7"/>
      <c r="B51" s="7" t="s">
        <v>852</v>
      </c>
      <c r="C51" s="7" t="s">
        <v>15</v>
      </c>
      <c r="D51" s="7" t="s">
        <v>15</v>
      </c>
      <c r="E51" s="7" t="s">
        <v>15</v>
      </c>
      <c r="F51" s="7" t="s">
        <v>853</v>
      </c>
    </row>
    <row r="52" spans="1:6" ht="19" x14ac:dyDescent="0.25">
      <c r="A52" s="7"/>
      <c r="B52" s="7" t="s">
        <v>854</v>
      </c>
      <c r="C52" s="7" t="s">
        <v>855</v>
      </c>
      <c r="D52" s="7">
        <v>0.08</v>
      </c>
      <c r="E52" s="7" t="s">
        <v>15</v>
      </c>
      <c r="F52" s="7" t="s">
        <v>856</v>
      </c>
    </row>
    <row r="53" spans="1:6" ht="19" x14ac:dyDescent="0.25">
      <c r="A53" s="7"/>
      <c r="B53" s="7" t="s">
        <v>857</v>
      </c>
      <c r="C53" s="7" t="s">
        <v>858</v>
      </c>
      <c r="D53" s="7">
        <v>0.16</v>
      </c>
      <c r="E53" s="7" t="s">
        <v>15</v>
      </c>
      <c r="F53" s="7" t="s">
        <v>859</v>
      </c>
    </row>
    <row r="54" spans="1:6" ht="19" x14ac:dyDescent="0.25">
      <c r="A54" s="7"/>
      <c r="B54" s="7" t="s">
        <v>860</v>
      </c>
      <c r="C54" s="7" t="s">
        <v>861</v>
      </c>
      <c r="D54" s="7">
        <v>0.13</v>
      </c>
      <c r="E54" s="7" t="s">
        <v>15</v>
      </c>
      <c r="F54" s="7" t="s">
        <v>862</v>
      </c>
    </row>
    <row r="55" spans="1:6" ht="19" x14ac:dyDescent="0.25">
      <c r="A55" s="7"/>
      <c r="B55" s="7" t="s">
        <v>863</v>
      </c>
      <c r="C55" s="7" t="s">
        <v>864</v>
      </c>
      <c r="D55" s="7">
        <v>0.12</v>
      </c>
      <c r="E55" s="7" t="s">
        <v>15</v>
      </c>
      <c r="F55" s="7" t="s">
        <v>865</v>
      </c>
    </row>
    <row r="56" spans="1:6" ht="19" x14ac:dyDescent="0.25">
      <c r="A56" s="7"/>
      <c r="B56" s="7" t="s">
        <v>866</v>
      </c>
      <c r="C56" s="7" t="s">
        <v>867</v>
      </c>
      <c r="D56" s="7">
        <v>0.12</v>
      </c>
      <c r="E56" s="7" t="s">
        <v>15</v>
      </c>
      <c r="F56" s="7" t="s">
        <v>868</v>
      </c>
    </row>
    <row r="57" spans="1:6" ht="19" x14ac:dyDescent="0.25">
      <c r="A57" s="7"/>
      <c r="B57" s="7" t="s">
        <v>869</v>
      </c>
      <c r="C57" s="7" t="s">
        <v>870</v>
      </c>
      <c r="D57" s="7">
        <v>0.17</v>
      </c>
      <c r="E57" s="7" t="s">
        <v>15</v>
      </c>
      <c r="F57" s="7" t="s">
        <v>871</v>
      </c>
    </row>
    <row r="58" spans="1:6" ht="19" x14ac:dyDescent="0.25">
      <c r="A58" s="7"/>
      <c r="B58" s="7" t="s">
        <v>872</v>
      </c>
      <c r="C58" s="7" t="s">
        <v>873</v>
      </c>
      <c r="D58" s="7">
        <v>0.21</v>
      </c>
      <c r="E58" s="7" t="s">
        <v>15</v>
      </c>
      <c r="F58" s="7" t="s">
        <v>874</v>
      </c>
    </row>
    <row r="59" spans="1:6" ht="19" x14ac:dyDescent="0.25">
      <c r="A59" s="7" t="s">
        <v>606</v>
      </c>
      <c r="B59" s="7" t="s">
        <v>875</v>
      </c>
      <c r="C59" s="7" t="s">
        <v>876</v>
      </c>
      <c r="D59" s="7" t="s">
        <v>15</v>
      </c>
      <c r="E59" s="7" t="s">
        <v>17</v>
      </c>
      <c r="F59" s="7" t="s">
        <v>877</v>
      </c>
    </row>
    <row r="60" spans="1:6" ht="19" x14ac:dyDescent="0.25">
      <c r="A60" s="7"/>
      <c r="B60" s="7" t="s">
        <v>878</v>
      </c>
      <c r="C60" s="7" t="s">
        <v>879</v>
      </c>
      <c r="D60" s="7">
        <v>0.15</v>
      </c>
      <c r="E60" s="7" t="s">
        <v>17</v>
      </c>
      <c r="F60" s="7" t="s">
        <v>880</v>
      </c>
    </row>
    <row r="61" spans="1:6" ht="19" x14ac:dyDescent="0.25">
      <c r="A61" s="7"/>
      <c r="B61" s="7" t="s">
        <v>881</v>
      </c>
      <c r="C61" s="7" t="s">
        <v>882</v>
      </c>
      <c r="D61" s="7">
        <v>0.57999999999999996</v>
      </c>
      <c r="E61" s="7" t="s">
        <v>17</v>
      </c>
      <c r="F61" s="7" t="s">
        <v>883</v>
      </c>
    </row>
    <row r="62" spans="1:6" ht="19" x14ac:dyDescent="0.25">
      <c r="A62" s="7"/>
      <c r="B62" s="7" t="s">
        <v>607</v>
      </c>
      <c r="C62" s="7" t="s">
        <v>692</v>
      </c>
      <c r="D62" s="7">
        <v>0.17</v>
      </c>
      <c r="E62" s="7" t="s">
        <v>15</v>
      </c>
      <c r="F62" s="7" t="s">
        <v>693</v>
      </c>
    </row>
    <row r="63" spans="1:6" ht="19" x14ac:dyDescent="0.25">
      <c r="A63" s="7"/>
      <c r="B63" s="7" t="s">
        <v>884</v>
      </c>
      <c r="C63" s="7" t="s">
        <v>15</v>
      </c>
      <c r="D63" s="7">
        <v>1.48</v>
      </c>
      <c r="E63" s="7" t="s">
        <v>17</v>
      </c>
      <c r="F63" s="7" t="s">
        <v>885</v>
      </c>
    </row>
    <row r="64" spans="1:6" ht="19" x14ac:dyDescent="0.25">
      <c r="A64" s="7"/>
      <c r="B64" s="7" t="s">
        <v>886</v>
      </c>
      <c r="C64" s="7" t="s">
        <v>879</v>
      </c>
      <c r="D64" s="7">
        <v>0.03</v>
      </c>
      <c r="E64" s="7" t="s">
        <v>17</v>
      </c>
      <c r="F64" s="7" t="s">
        <v>887</v>
      </c>
    </row>
    <row r="65" spans="1:6" ht="19" x14ac:dyDescent="0.25">
      <c r="A65" s="7"/>
      <c r="B65" s="7" t="s">
        <v>888</v>
      </c>
      <c r="C65" s="7" t="s">
        <v>889</v>
      </c>
      <c r="D65" s="7">
        <v>0.02</v>
      </c>
      <c r="E65" s="7" t="s">
        <v>17</v>
      </c>
      <c r="F65" s="7" t="s">
        <v>890</v>
      </c>
    </row>
    <row r="66" spans="1:6" ht="19" x14ac:dyDescent="0.25">
      <c r="A66" s="7"/>
      <c r="B66" s="7" t="s">
        <v>891</v>
      </c>
      <c r="C66" s="7" t="s">
        <v>892</v>
      </c>
      <c r="D66" s="7">
        <v>2.67</v>
      </c>
      <c r="E66" s="7" t="s">
        <v>15</v>
      </c>
      <c r="F66" s="7" t="s">
        <v>893</v>
      </c>
    </row>
    <row r="67" spans="1:6" ht="19" x14ac:dyDescent="0.25">
      <c r="A67" s="7"/>
      <c r="B67" s="7" t="s">
        <v>894</v>
      </c>
      <c r="C67" s="7" t="s">
        <v>15</v>
      </c>
      <c r="D67" s="7">
        <v>4.4000000000000004</v>
      </c>
      <c r="E67" s="7" t="s">
        <v>15</v>
      </c>
      <c r="F67" s="7" t="s">
        <v>895</v>
      </c>
    </row>
    <row r="68" spans="1:6" ht="19" x14ac:dyDescent="0.25">
      <c r="A68" s="7"/>
      <c r="B68" s="7" t="s">
        <v>896</v>
      </c>
      <c r="C68" s="7" t="s">
        <v>15</v>
      </c>
      <c r="D68" s="7">
        <v>2.2799999999999998</v>
      </c>
      <c r="E68" s="7" t="s">
        <v>15</v>
      </c>
      <c r="F68" s="7" t="s">
        <v>897</v>
      </c>
    </row>
    <row r="69" spans="1:6" ht="19" x14ac:dyDescent="0.25">
      <c r="A69" s="7"/>
      <c r="B69" s="7" t="s">
        <v>898</v>
      </c>
      <c r="C69" s="7" t="s">
        <v>15</v>
      </c>
      <c r="D69" s="7">
        <v>0.75</v>
      </c>
      <c r="E69" s="7" t="s">
        <v>15</v>
      </c>
      <c r="F69" s="7" t="s">
        <v>899</v>
      </c>
    </row>
    <row r="70" spans="1:6" ht="19" x14ac:dyDescent="0.25">
      <c r="A70" s="7"/>
      <c r="B70" s="7" t="s">
        <v>900</v>
      </c>
      <c r="C70" s="7" t="s">
        <v>901</v>
      </c>
      <c r="D70" s="7">
        <v>0.27</v>
      </c>
      <c r="E70" s="7" t="s">
        <v>15</v>
      </c>
      <c r="F70" s="7" t="s">
        <v>902</v>
      </c>
    </row>
    <row r="71" spans="1:6" ht="19" x14ac:dyDescent="0.25">
      <c r="A71" s="7"/>
      <c r="B71" s="7" t="s">
        <v>903</v>
      </c>
      <c r="C71" s="7" t="s">
        <v>904</v>
      </c>
      <c r="D71" s="7">
        <v>6.18</v>
      </c>
      <c r="E71" s="7" t="s">
        <v>15</v>
      </c>
      <c r="F71" s="7" t="s">
        <v>905</v>
      </c>
    </row>
    <row r="72" spans="1:6" ht="19" x14ac:dyDescent="0.25">
      <c r="A72" s="7"/>
      <c r="B72" s="7" t="s">
        <v>906</v>
      </c>
      <c r="C72" s="7" t="s">
        <v>15</v>
      </c>
      <c r="D72" s="7">
        <v>7.45</v>
      </c>
      <c r="E72" s="7" t="s">
        <v>15</v>
      </c>
      <c r="F72" s="7" t="s">
        <v>907</v>
      </c>
    </row>
    <row r="73" spans="1:6" ht="19" x14ac:dyDescent="0.25">
      <c r="A73" s="7" t="s">
        <v>908</v>
      </c>
      <c r="B73" s="7" t="s">
        <v>909</v>
      </c>
      <c r="C73" s="7" t="s">
        <v>910</v>
      </c>
      <c r="D73" s="7">
        <v>0.04</v>
      </c>
      <c r="E73" s="7" t="s">
        <v>15</v>
      </c>
      <c r="F73" s="7" t="s">
        <v>911</v>
      </c>
    </row>
    <row r="74" spans="1:6" ht="19" x14ac:dyDescent="0.25">
      <c r="A74" s="7"/>
      <c r="B74" s="7" t="s">
        <v>912</v>
      </c>
      <c r="C74" s="7" t="s">
        <v>15</v>
      </c>
      <c r="D74" s="7">
        <v>0.04</v>
      </c>
      <c r="E74" s="7" t="s">
        <v>19</v>
      </c>
      <c r="F74" s="7" t="s">
        <v>913</v>
      </c>
    </row>
    <row r="75" spans="1:6" ht="19" x14ac:dyDescent="0.25">
      <c r="A75" s="7"/>
      <c r="B75" s="7" t="s">
        <v>914</v>
      </c>
      <c r="C75" s="7" t="s">
        <v>915</v>
      </c>
      <c r="D75" s="7">
        <v>0.36</v>
      </c>
      <c r="E75" s="7" t="s">
        <v>17</v>
      </c>
      <c r="F75" s="7" t="s">
        <v>916</v>
      </c>
    </row>
    <row r="76" spans="1:6" ht="19" x14ac:dyDescent="0.25">
      <c r="A76" s="7"/>
      <c r="B76" s="7" t="s">
        <v>917</v>
      </c>
      <c r="C76" s="7" t="s">
        <v>918</v>
      </c>
      <c r="D76" s="7">
        <v>0.06</v>
      </c>
      <c r="E76" s="7" t="s">
        <v>15</v>
      </c>
      <c r="F76" s="7" t="s">
        <v>919</v>
      </c>
    </row>
    <row r="77" spans="1:6" ht="19" x14ac:dyDescent="0.25">
      <c r="A77" s="7"/>
      <c r="B77" s="7" t="s">
        <v>920</v>
      </c>
      <c r="C77" s="7" t="s">
        <v>921</v>
      </c>
      <c r="D77" s="7">
        <v>0.05</v>
      </c>
      <c r="E77" s="7" t="s">
        <v>15</v>
      </c>
      <c r="F77" s="7" t="s">
        <v>922</v>
      </c>
    </row>
    <row r="78" spans="1:6" ht="19" x14ac:dyDescent="0.25">
      <c r="A78" s="7"/>
      <c r="B78" s="7" t="s">
        <v>923</v>
      </c>
      <c r="C78" s="7" t="s">
        <v>924</v>
      </c>
      <c r="D78" s="7">
        <v>0.05</v>
      </c>
      <c r="E78" s="7" t="s">
        <v>15</v>
      </c>
      <c r="F78" s="7" t="s">
        <v>925</v>
      </c>
    </row>
    <row r="79" spans="1:6" ht="19" x14ac:dyDescent="0.25">
      <c r="A79" s="7"/>
      <c r="B79" s="7" t="s">
        <v>926</v>
      </c>
      <c r="C79" s="7" t="s">
        <v>15</v>
      </c>
      <c r="D79" s="7">
        <v>0.08</v>
      </c>
      <c r="E79" s="7" t="s">
        <v>15</v>
      </c>
      <c r="F79" s="7" t="s">
        <v>927</v>
      </c>
    </row>
    <row r="80" spans="1:6" ht="19" x14ac:dyDescent="0.25">
      <c r="A80" s="7"/>
      <c r="B80" s="7" t="s">
        <v>928</v>
      </c>
      <c r="C80" s="7" t="s">
        <v>15</v>
      </c>
      <c r="D80" s="7">
        <v>0.1</v>
      </c>
      <c r="E80" s="7" t="s">
        <v>15</v>
      </c>
      <c r="F80" s="7" t="s">
        <v>929</v>
      </c>
    </row>
    <row r="81" spans="1:6" ht="19" x14ac:dyDescent="0.25">
      <c r="A81" s="7"/>
      <c r="B81" s="7" t="s">
        <v>930</v>
      </c>
      <c r="C81" s="7" t="s">
        <v>15</v>
      </c>
      <c r="D81" s="7">
        <v>0.06</v>
      </c>
      <c r="E81" s="7" t="s">
        <v>15</v>
      </c>
      <c r="F81" s="7" t="s">
        <v>931</v>
      </c>
    </row>
    <row r="82" spans="1:6" ht="19" x14ac:dyDescent="0.25">
      <c r="A82" s="7"/>
      <c r="B82" s="7" t="s">
        <v>932</v>
      </c>
      <c r="C82" s="7" t="s">
        <v>15</v>
      </c>
      <c r="D82" s="7">
        <v>0.25</v>
      </c>
      <c r="E82" s="7" t="s">
        <v>17</v>
      </c>
      <c r="F82" s="7" t="s">
        <v>933</v>
      </c>
    </row>
    <row r="83" spans="1:6" ht="19" x14ac:dyDescent="0.25">
      <c r="A83" s="7"/>
      <c r="B83" s="7" t="s">
        <v>934</v>
      </c>
      <c r="C83" s="7" t="s">
        <v>935</v>
      </c>
      <c r="D83" s="7">
        <v>0.09</v>
      </c>
      <c r="E83" s="7" t="s">
        <v>15</v>
      </c>
      <c r="F83" s="7" t="s">
        <v>936</v>
      </c>
    </row>
    <row r="84" spans="1:6" ht="19" x14ac:dyDescent="0.25">
      <c r="A84" s="7"/>
      <c r="B84" s="7" t="s">
        <v>937</v>
      </c>
      <c r="C84" s="7" t="s">
        <v>15</v>
      </c>
      <c r="D84" s="7">
        <v>0.05</v>
      </c>
      <c r="E84" s="7" t="s">
        <v>15</v>
      </c>
      <c r="F84" s="7" t="s">
        <v>938</v>
      </c>
    </row>
    <row r="85" spans="1:6" ht="19" x14ac:dyDescent="0.25">
      <c r="A85" s="7"/>
      <c r="B85" s="7" t="s">
        <v>939</v>
      </c>
      <c r="C85" s="7" t="s">
        <v>15</v>
      </c>
      <c r="D85" s="7">
        <v>0.15</v>
      </c>
      <c r="E85" s="7" t="s">
        <v>19</v>
      </c>
      <c r="F85" s="7" t="s">
        <v>940</v>
      </c>
    </row>
    <row r="86" spans="1:6" ht="19" x14ac:dyDescent="0.25">
      <c r="A86" s="7" t="s">
        <v>941</v>
      </c>
      <c r="B86" s="7" t="s">
        <v>942</v>
      </c>
      <c r="C86" s="7" t="s">
        <v>943</v>
      </c>
      <c r="D86" s="7">
        <v>0.54</v>
      </c>
      <c r="E86" s="7" t="s">
        <v>15</v>
      </c>
      <c r="F86" s="7" t="s">
        <v>944</v>
      </c>
    </row>
    <row r="87" spans="1:6" ht="19" x14ac:dyDescent="0.25">
      <c r="A87" s="7"/>
      <c r="B87" s="7" t="s">
        <v>945</v>
      </c>
      <c r="C87" s="7" t="s">
        <v>946</v>
      </c>
      <c r="D87" s="7">
        <v>0.02</v>
      </c>
      <c r="E87" s="7" t="s">
        <v>15</v>
      </c>
      <c r="F87" s="7" t="s">
        <v>947</v>
      </c>
    </row>
    <row r="88" spans="1:6" ht="19" x14ac:dyDescent="0.25">
      <c r="A88" s="7"/>
      <c r="B88" s="7" t="s">
        <v>948</v>
      </c>
      <c r="C88" s="7" t="s">
        <v>949</v>
      </c>
      <c r="D88" s="7">
        <v>0.16</v>
      </c>
      <c r="E88" s="7" t="s">
        <v>15</v>
      </c>
      <c r="F88" s="7" t="s">
        <v>950</v>
      </c>
    </row>
    <row r="89" spans="1:6" ht="19" x14ac:dyDescent="0.25">
      <c r="A89" s="7"/>
      <c r="B89" s="7" t="s">
        <v>951</v>
      </c>
      <c r="C89" s="7" t="s">
        <v>952</v>
      </c>
      <c r="D89" s="7">
        <v>0.09</v>
      </c>
      <c r="E89" s="7" t="s">
        <v>15</v>
      </c>
      <c r="F89" s="7" t="s">
        <v>953</v>
      </c>
    </row>
    <row r="90" spans="1:6" ht="19" x14ac:dyDescent="0.25">
      <c r="A90" s="7"/>
      <c r="B90" s="7" t="s">
        <v>954</v>
      </c>
      <c r="C90" s="7" t="s">
        <v>955</v>
      </c>
      <c r="D90" s="7">
        <v>0.11</v>
      </c>
      <c r="E90" s="7" t="s">
        <v>15</v>
      </c>
      <c r="F90" s="7" t="s">
        <v>956</v>
      </c>
    </row>
    <row r="91" spans="1:6" ht="19" x14ac:dyDescent="0.25">
      <c r="A91" s="7" t="s">
        <v>957</v>
      </c>
      <c r="B91" s="7" t="s">
        <v>958</v>
      </c>
      <c r="C91" s="7" t="s">
        <v>943</v>
      </c>
      <c r="D91" s="7">
        <v>0.06</v>
      </c>
      <c r="E91" s="7" t="s">
        <v>15</v>
      </c>
      <c r="F91" s="7" t="s">
        <v>959</v>
      </c>
    </row>
    <row r="92" spans="1:6" ht="19" x14ac:dyDescent="0.25">
      <c r="A92" s="7"/>
      <c r="B92" s="7" t="s">
        <v>960</v>
      </c>
      <c r="C92" s="7" t="s">
        <v>943</v>
      </c>
      <c r="D92" s="7">
        <v>7.0000000000000007E-2</v>
      </c>
      <c r="E92" s="7" t="s">
        <v>19</v>
      </c>
      <c r="F92" s="7" t="s">
        <v>961</v>
      </c>
    </row>
    <row r="93" spans="1:6" ht="19" x14ac:dyDescent="0.25">
      <c r="A93" s="7"/>
      <c r="B93" s="7" t="s">
        <v>962</v>
      </c>
      <c r="C93" s="7" t="s">
        <v>915</v>
      </c>
      <c r="D93" s="7">
        <v>0.1</v>
      </c>
      <c r="E93" s="7" t="s">
        <v>15</v>
      </c>
      <c r="F93" s="7" t="s">
        <v>963</v>
      </c>
    </row>
    <row r="94" spans="1:6" ht="19" x14ac:dyDescent="0.25">
      <c r="A94" s="7"/>
      <c r="B94" s="7" t="s">
        <v>964</v>
      </c>
      <c r="C94" s="7" t="s">
        <v>915</v>
      </c>
      <c r="D94" s="7">
        <v>0.13</v>
      </c>
      <c r="E94" s="7" t="s">
        <v>15</v>
      </c>
      <c r="F94" s="7" t="s">
        <v>965</v>
      </c>
    </row>
    <row r="95" spans="1:6" ht="19" x14ac:dyDescent="0.25">
      <c r="A95" s="7"/>
      <c r="B95" s="7" t="s">
        <v>966</v>
      </c>
      <c r="C95" s="7" t="s">
        <v>15</v>
      </c>
      <c r="D95" s="7">
        <v>0.02</v>
      </c>
      <c r="E95" s="7" t="s">
        <v>15</v>
      </c>
      <c r="F95" s="7" t="s">
        <v>967</v>
      </c>
    </row>
    <row r="96" spans="1:6" ht="19" x14ac:dyDescent="0.25">
      <c r="A96" s="7"/>
      <c r="B96" s="7" t="s">
        <v>968</v>
      </c>
      <c r="C96" s="7" t="s">
        <v>935</v>
      </c>
      <c r="D96" s="7">
        <v>0.05</v>
      </c>
      <c r="E96" s="7" t="s">
        <v>15</v>
      </c>
      <c r="F96" s="7" t="s">
        <v>969</v>
      </c>
    </row>
    <row r="97" spans="1:6" ht="19" x14ac:dyDescent="0.25">
      <c r="A97" s="7"/>
      <c r="B97" s="7" t="s">
        <v>970</v>
      </c>
      <c r="C97" s="7" t="s">
        <v>15</v>
      </c>
      <c r="D97" s="7">
        <v>0.03</v>
      </c>
      <c r="E97" s="7" t="s">
        <v>15</v>
      </c>
      <c r="F97" s="7" t="s">
        <v>971</v>
      </c>
    </row>
    <row r="98" spans="1:6" ht="19" x14ac:dyDescent="0.25">
      <c r="A98" s="7"/>
      <c r="B98" s="7" t="s">
        <v>972</v>
      </c>
      <c r="C98" s="7" t="s">
        <v>15</v>
      </c>
      <c r="D98" s="7">
        <v>0.04</v>
      </c>
      <c r="E98" s="7" t="s">
        <v>15</v>
      </c>
      <c r="F98" s="7" t="s">
        <v>973</v>
      </c>
    </row>
    <row r="99" spans="1:6" ht="19" x14ac:dyDescent="0.25">
      <c r="A99" s="7" t="s">
        <v>974</v>
      </c>
      <c r="B99" s="7" t="s">
        <v>975</v>
      </c>
      <c r="C99" s="7" t="s">
        <v>976</v>
      </c>
      <c r="D99" s="7">
        <v>0.1</v>
      </c>
      <c r="E99" s="7" t="s">
        <v>17</v>
      </c>
      <c r="F99" s="7" t="s">
        <v>977</v>
      </c>
    </row>
    <row r="100" spans="1:6" ht="19" x14ac:dyDescent="0.25">
      <c r="A100" s="7"/>
      <c r="B100" s="7" t="s">
        <v>978</v>
      </c>
      <c r="C100" s="7" t="s">
        <v>979</v>
      </c>
      <c r="D100" s="7">
        <v>7.0000000000000007E-2</v>
      </c>
      <c r="E100" s="7" t="s">
        <v>15</v>
      </c>
      <c r="F100" s="7" t="s">
        <v>980</v>
      </c>
    </row>
    <row r="101" spans="1:6" ht="19" x14ac:dyDescent="0.25">
      <c r="A101" s="7"/>
      <c r="B101" s="7" t="s">
        <v>981</v>
      </c>
      <c r="C101" s="7" t="s">
        <v>982</v>
      </c>
      <c r="D101" s="7">
        <v>0.15</v>
      </c>
      <c r="E101" s="7" t="s">
        <v>15</v>
      </c>
      <c r="F101" s="7" t="s">
        <v>983</v>
      </c>
    </row>
    <row r="102" spans="1:6" ht="19" x14ac:dyDescent="0.25">
      <c r="A102" s="7"/>
      <c r="B102" s="7" t="s">
        <v>984</v>
      </c>
      <c r="C102" s="7" t="s">
        <v>985</v>
      </c>
      <c r="D102" s="7">
        <v>0.23</v>
      </c>
      <c r="E102" s="7" t="s">
        <v>15</v>
      </c>
      <c r="F102" s="7" t="s">
        <v>986</v>
      </c>
    </row>
    <row r="103" spans="1:6" ht="19" x14ac:dyDescent="0.25">
      <c r="A103" s="7"/>
      <c r="B103" s="7" t="s">
        <v>987</v>
      </c>
      <c r="C103" s="7" t="s">
        <v>988</v>
      </c>
      <c r="D103" s="7">
        <v>0.08</v>
      </c>
      <c r="E103" s="7" t="s">
        <v>15</v>
      </c>
      <c r="F103" s="7" t="s">
        <v>989</v>
      </c>
    </row>
    <row r="104" spans="1:6" ht="19" x14ac:dyDescent="0.25">
      <c r="A104" s="7"/>
      <c r="B104" s="7" t="s">
        <v>990</v>
      </c>
      <c r="C104" s="7" t="s">
        <v>991</v>
      </c>
      <c r="D104" s="7">
        <v>0.25</v>
      </c>
      <c r="E104" s="7" t="s">
        <v>15</v>
      </c>
      <c r="F104" s="7" t="s">
        <v>992</v>
      </c>
    </row>
    <row r="105" spans="1:6" ht="19" x14ac:dyDescent="0.25">
      <c r="A105" s="7"/>
      <c r="B105" s="7" t="s">
        <v>993</v>
      </c>
      <c r="C105" s="7" t="s">
        <v>994</v>
      </c>
      <c r="D105" s="7">
        <v>7.0000000000000007E-2</v>
      </c>
      <c r="E105" s="7" t="s">
        <v>15</v>
      </c>
      <c r="F105" s="7" t="s">
        <v>995</v>
      </c>
    </row>
    <row r="106" spans="1:6" ht="19" x14ac:dyDescent="0.25">
      <c r="A106" s="7"/>
      <c r="B106" s="7" t="s">
        <v>996</v>
      </c>
      <c r="C106" s="7" t="s">
        <v>748</v>
      </c>
      <c r="D106" s="7">
        <v>0.28999999999999998</v>
      </c>
      <c r="E106" s="7" t="s">
        <v>15</v>
      </c>
      <c r="F106" s="7" t="s">
        <v>997</v>
      </c>
    </row>
    <row r="107" spans="1:6" ht="19" x14ac:dyDescent="0.25">
      <c r="A107" s="7"/>
      <c r="B107" s="7" t="s">
        <v>998</v>
      </c>
      <c r="C107" s="7" t="s">
        <v>740</v>
      </c>
      <c r="D107" s="7">
        <v>0.22</v>
      </c>
      <c r="E107" s="7" t="s">
        <v>17</v>
      </c>
      <c r="F107" s="7" t="s">
        <v>999</v>
      </c>
    </row>
    <row r="108" spans="1:6" ht="19" x14ac:dyDescent="0.25">
      <c r="A108" s="7"/>
      <c r="B108" s="7" t="s">
        <v>1000</v>
      </c>
      <c r="C108" s="7" t="s">
        <v>879</v>
      </c>
      <c r="D108" s="7">
        <v>0.19</v>
      </c>
      <c r="E108" s="7" t="s">
        <v>19</v>
      </c>
      <c r="F108" s="7" t="s">
        <v>1001</v>
      </c>
    </row>
    <row r="109" spans="1:6" ht="19" x14ac:dyDescent="0.25">
      <c r="A109" s="7"/>
      <c r="B109" s="7" t="s">
        <v>1002</v>
      </c>
      <c r="C109" s="7" t="s">
        <v>1003</v>
      </c>
      <c r="D109" s="7">
        <v>0.21</v>
      </c>
      <c r="E109" s="7" t="s">
        <v>15</v>
      </c>
      <c r="F109" s="7" t="s">
        <v>1004</v>
      </c>
    </row>
    <row r="110" spans="1:6" ht="19" x14ac:dyDescent="0.25">
      <c r="A110" s="7"/>
      <c r="B110" s="7" t="s">
        <v>1005</v>
      </c>
      <c r="C110" s="7" t="s">
        <v>748</v>
      </c>
      <c r="D110" s="7">
        <v>0.75</v>
      </c>
      <c r="E110" s="7" t="s">
        <v>15</v>
      </c>
      <c r="F110" s="7" t="s">
        <v>1006</v>
      </c>
    </row>
    <row r="111" spans="1:6" ht="19" x14ac:dyDescent="0.25">
      <c r="A111" s="7"/>
      <c r="B111" s="7" t="s">
        <v>1007</v>
      </c>
      <c r="C111" s="7" t="s">
        <v>1008</v>
      </c>
      <c r="D111" s="7">
        <v>0.13</v>
      </c>
      <c r="E111" s="7" t="s">
        <v>19</v>
      </c>
      <c r="F111" s="7" t="s">
        <v>1009</v>
      </c>
    </row>
    <row r="112" spans="1:6" ht="19" x14ac:dyDescent="0.25">
      <c r="A112" s="7"/>
      <c r="B112" s="7" t="s">
        <v>1010</v>
      </c>
      <c r="C112" s="7" t="s">
        <v>745</v>
      </c>
      <c r="D112" s="7">
        <v>0.25</v>
      </c>
      <c r="E112" s="7" t="s">
        <v>15</v>
      </c>
      <c r="F112" s="7" t="s">
        <v>1011</v>
      </c>
    </row>
    <row r="113" spans="1:6" ht="19" x14ac:dyDescent="0.25">
      <c r="A113" s="7"/>
      <c r="B113" s="7" t="s">
        <v>1012</v>
      </c>
      <c r="C113" s="7" t="s">
        <v>976</v>
      </c>
      <c r="D113" s="7">
        <v>0.12</v>
      </c>
      <c r="E113" s="7" t="s">
        <v>15</v>
      </c>
      <c r="F113" s="7" t="s">
        <v>1013</v>
      </c>
    </row>
    <row r="114" spans="1:6" ht="19" x14ac:dyDescent="0.25">
      <c r="A114" s="7"/>
      <c r="B114" s="7" t="s">
        <v>1014</v>
      </c>
      <c r="C114" s="7" t="s">
        <v>773</v>
      </c>
      <c r="D114" s="7">
        <v>0.05</v>
      </c>
      <c r="E114" s="7" t="s">
        <v>15</v>
      </c>
      <c r="F114" s="7" t="s">
        <v>1015</v>
      </c>
    </row>
    <row r="115" spans="1:6" ht="19" x14ac:dyDescent="0.25">
      <c r="A115" s="7"/>
      <c r="B115" s="7" t="s">
        <v>1016</v>
      </c>
      <c r="C115" s="7" t="s">
        <v>737</v>
      </c>
      <c r="D115" s="7">
        <v>7.0000000000000007E-2</v>
      </c>
      <c r="E115" s="7" t="s">
        <v>15</v>
      </c>
      <c r="F115" s="7" t="s">
        <v>1017</v>
      </c>
    </row>
    <row r="116" spans="1:6" ht="19" x14ac:dyDescent="0.25">
      <c r="A116" s="7"/>
      <c r="B116" s="7" t="s">
        <v>1018</v>
      </c>
      <c r="C116" s="7" t="s">
        <v>889</v>
      </c>
      <c r="D116" s="7">
        <v>0.09</v>
      </c>
      <c r="E116" s="7" t="s">
        <v>15</v>
      </c>
      <c r="F116" s="7" t="s">
        <v>1019</v>
      </c>
    </row>
    <row r="117" spans="1:6" ht="19" x14ac:dyDescent="0.25">
      <c r="A117" s="7" t="s">
        <v>15</v>
      </c>
      <c r="B117" s="7" t="s">
        <v>1020</v>
      </c>
      <c r="C117" s="7" t="s">
        <v>935</v>
      </c>
      <c r="D117" s="7">
        <v>0.13</v>
      </c>
      <c r="E117" s="7" t="s">
        <v>15</v>
      </c>
      <c r="F117" s="7" t="s">
        <v>1021</v>
      </c>
    </row>
    <row r="118" spans="1:6" ht="19" x14ac:dyDescent="0.25">
      <c r="A118" s="7" t="s">
        <v>1022</v>
      </c>
      <c r="B118" s="7" t="s">
        <v>1023</v>
      </c>
      <c r="C118" s="7" t="s">
        <v>15</v>
      </c>
      <c r="D118" s="7">
        <v>13.79</v>
      </c>
      <c r="E118" s="7" t="s">
        <v>17</v>
      </c>
      <c r="F118" s="7" t="s">
        <v>1024</v>
      </c>
    </row>
    <row r="119" spans="1:6" ht="19" x14ac:dyDescent="0.25">
      <c r="A119" s="7"/>
      <c r="B119" s="7" t="s">
        <v>1025</v>
      </c>
      <c r="C119" s="7" t="s">
        <v>15</v>
      </c>
      <c r="D119" s="7">
        <v>99.2</v>
      </c>
      <c r="E119" s="7" t="s">
        <v>17</v>
      </c>
      <c r="F119" s="7" t="s">
        <v>1026</v>
      </c>
    </row>
    <row r="120" spans="1:6" ht="19" x14ac:dyDescent="0.25">
      <c r="A120" s="7"/>
      <c r="B120" s="7" t="s">
        <v>1027</v>
      </c>
      <c r="C120" s="7" t="s">
        <v>1028</v>
      </c>
      <c r="D120" s="7">
        <v>100</v>
      </c>
      <c r="E120" s="7" t="s">
        <v>17</v>
      </c>
      <c r="F120" s="7" t="s">
        <v>1029</v>
      </c>
    </row>
    <row r="121" spans="1:6" ht="19" x14ac:dyDescent="0.25">
      <c r="A121" s="7"/>
      <c r="B121" s="7" t="s">
        <v>1030</v>
      </c>
      <c r="C121" s="7" t="s">
        <v>15</v>
      </c>
      <c r="D121" s="7">
        <v>9.42</v>
      </c>
      <c r="E121" s="7" t="s">
        <v>15</v>
      </c>
      <c r="F121" s="7" t="s">
        <v>1031</v>
      </c>
    </row>
    <row r="122" spans="1:6" ht="19" x14ac:dyDescent="0.25">
      <c r="A122" s="7"/>
      <c r="B122" s="7" t="s">
        <v>1032</v>
      </c>
      <c r="C122" s="7" t="s">
        <v>15</v>
      </c>
      <c r="D122" s="7">
        <v>23.87</v>
      </c>
      <c r="E122" s="7" t="s">
        <v>15</v>
      </c>
      <c r="F122" s="7" t="s">
        <v>1033</v>
      </c>
    </row>
    <row r="123" spans="1:6" ht="19" x14ac:dyDescent="0.25">
      <c r="A123" s="7"/>
      <c r="B123" s="7" t="s">
        <v>1034</v>
      </c>
      <c r="C123" s="7" t="s">
        <v>1035</v>
      </c>
      <c r="D123" s="7">
        <v>16.54</v>
      </c>
      <c r="E123" s="7" t="s">
        <v>19</v>
      </c>
      <c r="F123" s="7" t="s">
        <v>1036</v>
      </c>
    </row>
    <row r="124" spans="1:6" ht="19" x14ac:dyDescent="0.25">
      <c r="A124" s="7"/>
      <c r="B124" s="7" t="s">
        <v>1037</v>
      </c>
      <c r="C124" s="7" t="s">
        <v>1038</v>
      </c>
      <c r="D124" s="7">
        <v>9.73</v>
      </c>
      <c r="E124" s="7" t="s">
        <v>19</v>
      </c>
      <c r="F124" s="7" t="s">
        <v>1039</v>
      </c>
    </row>
    <row r="125" spans="1:6" ht="19" x14ac:dyDescent="0.25">
      <c r="A125" s="7"/>
      <c r="B125" s="7" t="s">
        <v>1040</v>
      </c>
      <c r="C125" s="7" t="s">
        <v>1041</v>
      </c>
      <c r="D125" s="7">
        <v>99.99</v>
      </c>
      <c r="E125" s="7" t="s">
        <v>15</v>
      </c>
      <c r="F125" s="7" t="s">
        <v>1042</v>
      </c>
    </row>
    <row r="126" spans="1:6" ht="19" x14ac:dyDescent="0.25">
      <c r="A126" s="7"/>
      <c r="B126" s="7" t="s">
        <v>1043</v>
      </c>
      <c r="C126" s="7" t="s">
        <v>1041</v>
      </c>
      <c r="D126" s="7">
        <v>99.99</v>
      </c>
      <c r="E126" s="7" t="s">
        <v>15</v>
      </c>
      <c r="F126" s="7" t="s">
        <v>1044</v>
      </c>
    </row>
    <row r="127" spans="1:6" x14ac:dyDescent="0.2">
      <c r="A127"/>
      <c r="B127"/>
      <c r="C127"/>
      <c r="D127"/>
      <c r="E127"/>
      <c r="F127"/>
    </row>
    <row r="128" spans="1:6" x14ac:dyDescent="0.2">
      <c r="A128"/>
      <c r="B128"/>
      <c r="C128"/>
      <c r="D128"/>
      <c r="E128"/>
      <c r="F128"/>
    </row>
    <row r="129" spans="1:6" x14ac:dyDescent="0.2">
      <c r="A129"/>
      <c r="B129"/>
      <c r="C129"/>
      <c r="D129"/>
      <c r="E129"/>
      <c r="F129"/>
    </row>
    <row r="130" spans="1:6" x14ac:dyDescent="0.2">
      <c r="A130"/>
      <c r="B130"/>
      <c r="C130"/>
      <c r="D130"/>
      <c r="E130"/>
      <c r="F130"/>
    </row>
    <row r="131" spans="1:6" x14ac:dyDescent="0.2">
      <c r="A131"/>
      <c r="B131"/>
      <c r="C131"/>
      <c r="D131"/>
      <c r="E131"/>
      <c r="F131"/>
    </row>
    <row r="132" spans="1:6" x14ac:dyDescent="0.2">
      <c r="A132"/>
      <c r="B132"/>
      <c r="C132"/>
      <c r="D132"/>
    </row>
    <row r="133" spans="1:6" x14ac:dyDescent="0.2">
      <c r="A133"/>
      <c r="B133"/>
      <c r="C133"/>
      <c r="D133"/>
    </row>
    <row r="134" spans="1:6" x14ac:dyDescent="0.2">
      <c r="A134"/>
      <c r="B134"/>
      <c r="C134"/>
      <c r="D134"/>
    </row>
    <row r="135" spans="1:6" x14ac:dyDescent="0.2">
      <c r="A135"/>
      <c r="B135"/>
      <c r="C135"/>
      <c r="D135"/>
    </row>
    <row r="136" spans="1:6" x14ac:dyDescent="0.2">
      <c r="A136"/>
      <c r="B136"/>
      <c r="C136"/>
      <c r="D136"/>
    </row>
    <row r="137" spans="1:6" x14ac:dyDescent="0.2">
      <c r="A137"/>
      <c r="B137"/>
      <c r="C137"/>
      <c r="D137"/>
    </row>
    <row r="138" spans="1:6" x14ac:dyDescent="0.2">
      <c r="A138"/>
      <c r="B138"/>
      <c r="C138"/>
      <c r="D138"/>
    </row>
    <row r="139" spans="1:6" x14ac:dyDescent="0.2">
      <c r="A139"/>
      <c r="B139"/>
      <c r="C139"/>
      <c r="D139"/>
    </row>
    <row r="140" spans="1:6" x14ac:dyDescent="0.2">
      <c r="A140"/>
      <c r="B140"/>
      <c r="C140"/>
      <c r="D140"/>
    </row>
    <row r="141" spans="1:6" x14ac:dyDescent="0.2">
      <c r="A141"/>
      <c r="B141"/>
      <c r="C141"/>
      <c r="D141"/>
    </row>
    <row r="142" spans="1:6" x14ac:dyDescent="0.2">
      <c r="A142"/>
      <c r="B142"/>
      <c r="C142"/>
      <c r="D142"/>
    </row>
    <row r="143" spans="1:6" x14ac:dyDescent="0.2">
      <c r="A143"/>
      <c r="B143"/>
      <c r="C143"/>
      <c r="D143"/>
    </row>
    <row r="144" spans="1:6" x14ac:dyDescent="0.2">
      <c r="A144"/>
      <c r="B144"/>
      <c r="C144"/>
      <c r="D144"/>
    </row>
    <row r="145" spans="1:4" x14ac:dyDescent="0.2">
      <c r="A145"/>
      <c r="B145"/>
      <c r="C145"/>
      <c r="D145"/>
    </row>
    <row r="146" spans="1:4" x14ac:dyDescent="0.2">
      <c r="A146"/>
      <c r="B146"/>
      <c r="C146"/>
      <c r="D146"/>
    </row>
    <row r="147" spans="1:4" x14ac:dyDescent="0.2">
      <c r="A147"/>
      <c r="B147"/>
      <c r="C147"/>
      <c r="D147"/>
    </row>
    <row r="148" spans="1:4" x14ac:dyDescent="0.2">
      <c r="A148"/>
      <c r="B148"/>
      <c r="C148"/>
      <c r="D148"/>
    </row>
    <row r="149" spans="1:4" x14ac:dyDescent="0.2">
      <c r="A149"/>
      <c r="B149"/>
      <c r="C149"/>
      <c r="D149"/>
    </row>
    <row r="150" spans="1:4" x14ac:dyDescent="0.2">
      <c r="A150"/>
      <c r="B150"/>
      <c r="C150"/>
      <c r="D150"/>
    </row>
    <row r="151" spans="1:4" x14ac:dyDescent="0.2">
      <c r="A151"/>
      <c r="B151"/>
      <c r="C151"/>
      <c r="D151"/>
    </row>
    <row r="152" spans="1:4" x14ac:dyDescent="0.2">
      <c r="A152"/>
      <c r="B152"/>
      <c r="C152"/>
      <c r="D152"/>
    </row>
    <row r="153" spans="1:4" x14ac:dyDescent="0.2">
      <c r="A153"/>
      <c r="B153"/>
      <c r="C153"/>
      <c r="D153"/>
    </row>
    <row r="154" spans="1:4" x14ac:dyDescent="0.2">
      <c r="A154"/>
      <c r="B154"/>
      <c r="C154"/>
      <c r="D154"/>
    </row>
    <row r="155" spans="1:4" x14ac:dyDescent="0.2">
      <c r="A155"/>
      <c r="B155"/>
      <c r="C155"/>
      <c r="D155"/>
    </row>
    <row r="156" spans="1:4" x14ac:dyDescent="0.2">
      <c r="A156"/>
      <c r="B156"/>
      <c r="C156"/>
      <c r="D156"/>
    </row>
    <row r="157" spans="1:4" x14ac:dyDescent="0.2">
      <c r="A157"/>
      <c r="B157"/>
      <c r="C157"/>
      <c r="D157"/>
    </row>
    <row r="158" spans="1:4" x14ac:dyDescent="0.2">
      <c r="A158"/>
      <c r="B158"/>
      <c r="C158"/>
      <c r="D158"/>
    </row>
    <row r="159" spans="1:4" x14ac:dyDescent="0.2">
      <c r="A159"/>
      <c r="B159"/>
      <c r="C159"/>
      <c r="D159"/>
    </row>
    <row r="160" spans="1:4" x14ac:dyDescent="0.2">
      <c r="A160"/>
      <c r="B160"/>
      <c r="C160"/>
      <c r="D160"/>
    </row>
    <row r="161" spans="1:4" x14ac:dyDescent="0.2">
      <c r="A161"/>
      <c r="B161"/>
      <c r="C161"/>
      <c r="D161"/>
    </row>
    <row r="162" spans="1:4" x14ac:dyDescent="0.2">
      <c r="A162"/>
      <c r="B162"/>
      <c r="C162"/>
      <c r="D162"/>
    </row>
    <row r="163" spans="1:4" x14ac:dyDescent="0.2">
      <c r="A163"/>
      <c r="B163"/>
      <c r="C163"/>
      <c r="D163"/>
    </row>
    <row r="164" spans="1:4" x14ac:dyDescent="0.2">
      <c r="A164"/>
      <c r="B164"/>
      <c r="C164"/>
      <c r="D164"/>
    </row>
    <row r="165" spans="1:4" x14ac:dyDescent="0.2">
      <c r="A165"/>
      <c r="B165"/>
      <c r="C165"/>
      <c r="D165"/>
    </row>
    <row r="166" spans="1:4" x14ac:dyDescent="0.2">
      <c r="A166"/>
      <c r="B166"/>
      <c r="C166"/>
      <c r="D166"/>
    </row>
    <row r="167" spans="1:4" x14ac:dyDescent="0.2">
      <c r="A167"/>
      <c r="B167"/>
      <c r="C167"/>
      <c r="D167"/>
    </row>
    <row r="168" spans="1:4" x14ac:dyDescent="0.2">
      <c r="A168"/>
      <c r="B168"/>
      <c r="C168"/>
      <c r="D168"/>
    </row>
    <row r="169" spans="1:4" x14ac:dyDescent="0.2">
      <c r="A169"/>
      <c r="B169"/>
      <c r="C169"/>
      <c r="D169"/>
    </row>
    <row r="170" spans="1:4" x14ac:dyDescent="0.2">
      <c r="A170"/>
      <c r="B170"/>
      <c r="C170"/>
      <c r="D170"/>
    </row>
    <row r="171" spans="1:4" x14ac:dyDescent="0.2">
      <c r="A171"/>
      <c r="B171"/>
      <c r="C171"/>
      <c r="D171"/>
    </row>
    <row r="172" spans="1:4" x14ac:dyDescent="0.2">
      <c r="A172"/>
      <c r="B172"/>
      <c r="C172"/>
      <c r="D172"/>
    </row>
    <row r="173" spans="1:4" x14ac:dyDescent="0.2">
      <c r="A173"/>
      <c r="B173"/>
      <c r="C173"/>
      <c r="D173"/>
    </row>
    <row r="174" spans="1:4" x14ac:dyDescent="0.2">
      <c r="A174"/>
      <c r="B174"/>
      <c r="C174"/>
      <c r="D174"/>
    </row>
    <row r="175" spans="1:4" x14ac:dyDescent="0.2">
      <c r="A175"/>
      <c r="B175"/>
      <c r="C175"/>
      <c r="D175"/>
    </row>
    <row r="176" spans="1:4" x14ac:dyDescent="0.2">
      <c r="A176"/>
      <c r="B176"/>
      <c r="C176"/>
      <c r="D176"/>
    </row>
    <row r="177" spans="1:4" x14ac:dyDescent="0.2">
      <c r="A177"/>
      <c r="B177"/>
      <c r="C177"/>
      <c r="D177"/>
    </row>
    <row r="178" spans="1:4" x14ac:dyDescent="0.2">
      <c r="A178"/>
      <c r="B178"/>
      <c r="C178"/>
      <c r="D178"/>
    </row>
    <row r="179" spans="1:4" x14ac:dyDescent="0.2">
      <c r="A179"/>
      <c r="B179"/>
      <c r="C179"/>
      <c r="D179"/>
    </row>
    <row r="180" spans="1:4" x14ac:dyDescent="0.2">
      <c r="A180"/>
      <c r="B180"/>
      <c r="C180"/>
      <c r="D180"/>
    </row>
    <row r="181" spans="1:4" x14ac:dyDescent="0.2">
      <c r="A181"/>
      <c r="B181"/>
      <c r="C181"/>
      <c r="D181"/>
    </row>
    <row r="182" spans="1:4" x14ac:dyDescent="0.2">
      <c r="A182"/>
      <c r="B182"/>
      <c r="C182"/>
      <c r="D182"/>
    </row>
    <row r="183" spans="1:4" x14ac:dyDescent="0.2">
      <c r="A183"/>
      <c r="B183"/>
      <c r="C183"/>
      <c r="D183"/>
    </row>
    <row r="184" spans="1:4" x14ac:dyDescent="0.2">
      <c r="A184"/>
      <c r="B184"/>
      <c r="C184"/>
      <c r="D184"/>
    </row>
    <row r="185" spans="1:4" x14ac:dyDescent="0.2">
      <c r="A185"/>
      <c r="B185"/>
      <c r="C185"/>
      <c r="D185"/>
    </row>
    <row r="186" spans="1:4" x14ac:dyDescent="0.2">
      <c r="A186"/>
      <c r="B186"/>
      <c r="C186"/>
      <c r="D186"/>
    </row>
    <row r="187" spans="1:4" x14ac:dyDescent="0.2">
      <c r="A187"/>
      <c r="B187"/>
      <c r="C187"/>
      <c r="D187"/>
    </row>
    <row r="188" spans="1:4" x14ac:dyDescent="0.2">
      <c r="A188"/>
      <c r="B188"/>
      <c r="C188"/>
      <c r="D188"/>
    </row>
    <row r="189" spans="1:4" x14ac:dyDescent="0.2">
      <c r="A189"/>
      <c r="B189"/>
      <c r="C189"/>
      <c r="D189"/>
    </row>
    <row r="190" spans="1:4" x14ac:dyDescent="0.2">
      <c r="A190"/>
      <c r="B190"/>
      <c r="C190"/>
      <c r="D190"/>
    </row>
    <row r="191" spans="1:4" x14ac:dyDescent="0.2">
      <c r="A191"/>
      <c r="B191"/>
      <c r="C191"/>
      <c r="D191"/>
    </row>
    <row r="192" spans="1:4" x14ac:dyDescent="0.2">
      <c r="A192"/>
      <c r="B192"/>
      <c r="C192"/>
      <c r="D192"/>
    </row>
    <row r="193" spans="1:4" x14ac:dyDescent="0.2">
      <c r="A193"/>
      <c r="B193"/>
      <c r="C193"/>
      <c r="D193"/>
    </row>
    <row r="194" spans="1:4" x14ac:dyDescent="0.2">
      <c r="A194"/>
      <c r="B194"/>
      <c r="C194"/>
      <c r="D194"/>
    </row>
    <row r="195" spans="1:4" x14ac:dyDescent="0.2">
      <c r="A195"/>
      <c r="B195"/>
      <c r="C195"/>
      <c r="D195"/>
    </row>
    <row r="196" spans="1:4" x14ac:dyDescent="0.2">
      <c r="A196"/>
      <c r="B196"/>
      <c r="C196"/>
      <c r="D196"/>
    </row>
    <row r="197" spans="1:4" x14ac:dyDescent="0.2">
      <c r="A197"/>
      <c r="B197"/>
      <c r="C197"/>
      <c r="D197"/>
    </row>
    <row r="198" spans="1:4" x14ac:dyDescent="0.2">
      <c r="A198"/>
      <c r="B198"/>
      <c r="C198"/>
      <c r="D198"/>
    </row>
    <row r="199" spans="1:4" x14ac:dyDescent="0.2">
      <c r="A199"/>
      <c r="B199"/>
      <c r="C199"/>
      <c r="D199"/>
    </row>
    <row r="200" spans="1:4" x14ac:dyDescent="0.2">
      <c r="A200"/>
      <c r="B200"/>
      <c r="C200"/>
      <c r="D200"/>
    </row>
    <row r="201" spans="1:4" x14ac:dyDescent="0.2">
      <c r="A201"/>
      <c r="B201"/>
      <c r="C201"/>
      <c r="D201"/>
    </row>
    <row r="202" spans="1:4" x14ac:dyDescent="0.2">
      <c r="A202"/>
      <c r="B202"/>
      <c r="C202"/>
      <c r="D202"/>
    </row>
    <row r="203" spans="1:4" x14ac:dyDescent="0.2">
      <c r="A203"/>
      <c r="B203"/>
      <c r="C203"/>
      <c r="D203"/>
    </row>
    <row r="204" spans="1:4" x14ac:dyDescent="0.2">
      <c r="A204"/>
      <c r="B204"/>
      <c r="C204"/>
      <c r="D204"/>
    </row>
    <row r="205" spans="1:4" x14ac:dyDescent="0.2">
      <c r="A205"/>
      <c r="B205"/>
      <c r="C205"/>
      <c r="D205"/>
    </row>
    <row r="206" spans="1:4" x14ac:dyDescent="0.2">
      <c r="A206"/>
      <c r="B206"/>
      <c r="C206"/>
      <c r="D206"/>
    </row>
    <row r="207" spans="1:4" x14ac:dyDescent="0.2">
      <c r="A207"/>
      <c r="B207"/>
      <c r="C207"/>
      <c r="D207"/>
    </row>
    <row r="208" spans="1:4" x14ac:dyDescent="0.2">
      <c r="A208"/>
      <c r="B208"/>
      <c r="C208"/>
      <c r="D208"/>
    </row>
    <row r="209" spans="1:4" x14ac:dyDescent="0.2">
      <c r="A209"/>
      <c r="B209"/>
      <c r="C209"/>
      <c r="D209"/>
    </row>
    <row r="210" spans="1:4" x14ac:dyDescent="0.2">
      <c r="A210"/>
      <c r="B210"/>
      <c r="C210"/>
      <c r="D210"/>
    </row>
    <row r="211" spans="1:4" x14ac:dyDescent="0.2">
      <c r="A211"/>
      <c r="B211"/>
      <c r="C211"/>
      <c r="D211"/>
    </row>
    <row r="212" spans="1:4" x14ac:dyDescent="0.2">
      <c r="A212"/>
      <c r="B212"/>
      <c r="C212"/>
      <c r="D212"/>
    </row>
    <row r="213" spans="1:4" x14ac:dyDescent="0.2">
      <c r="A213"/>
      <c r="B213"/>
      <c r="C213"/>
      <c r="D213"/>
    </row>
    <row r="214" spans="1:4" x14ac:dyDescent="0.2">
      <c r="A214"/>
      <c r="B214"/>
      <c r="C214"/>
      <c r="D214"/>
    </row>
    <row r="215" spans="1:4" x14ac:dyDescent="0.2">
      <c r="A215"/>
      <c r="B215"/>
      <c r="C215"/>
      <c r="D215"/>
    </row>
    <row r="216" spans="1:4" x14ac:dyDescent="0.2">
      <c r="A216"/>
      <c r="B216"/>
      <c r="C216"/>
      <c r="D216"/>
    </row>
    <row r="217" spans="1:4" x14ac:dyDescent="0.2">
      <c r="A217"/>
      <c r="B217"/>
      <c r="C217"/>
      <c r="D217"/>
    </row>
    <row r="218" spans="1:4" x14ac:dyDescent="0.2">
      <c r="A218"/>
      <c r="B218"/>
      <c r="C218"/>
      <c r="D218"/>
    </row>
    <row r="219" spans="1:4" x14ac:dyDescent="0.2">
      <c r="A219"/>
      <c r="B219"/>
      <c r="C219"/>
      <c r="D219"/>
    </row>
    <row r="220" spans="1:4" x14ac:dyDescent="0.2">
      <c r="A220"/>
      <c r="B220"/>
      <c r="C220"/>
      <c r="D220"/>
    </row>
    <row r="221" spans="1:4" x14ac:dyDescent="0.2">
      <c r="A221"/>
      <c r="B221"/>
      <c r="C221"/>
      <c r="D221"/>
    </row>
    <row r="222" spans="1:4" x14ac:dyDescent="0.2">
      <c r="A222"/>
      <c r="B222"/>
      <c r="C222"/>
      <c r="D222"/>
    </row>
    <row r="223" spans="1:4" x14ac:dyDescent="0.2">
      <c r="A223"/>
      <c r="B223"/>
      <c r="C223"/>
      <c r="D223"/>
    </row>
    <row r="224" spans="1:4" x14ac:dyDescent="0.2">
      <c r="A224"/>
      <c r="B224"/>
      <c r="C224"/>
      <c r="D224"/>
    </row>
    <row r="225" spans="1:4" x14ac:dyDescent="0.2">
      <c r="A225"/>
      <c r="B225"/>
      <c r="C225"/>
      <c r="D225"/>
    </row>
    <row r="226" spans="1:4" x14ac:dyDescent="0.2">
      <c r="A226"/>
      <c r="B226"/>
      <c r="C226"/>
      <c r="D226"/>
    </row>
    <row r="227" spans="1:4" x14ac:dyDescent="0.2">
      <c r="A227"/>
      <c r="B227"/>
      <c r="C227"/>
      <c r="D227"/>
    </row>
    <row r="228" spans="1:4" x14ac:dyDescent="0.2">
      <c r="A228"/>
      <c r="B228"/>
      <c r="C228"/>
      <c r="D228"/>
    </row>
    <row r="229" spans="1:4" x14ac:dyDescent="0.2">
      <c r="A229"/>
      <c r="B229"/>
      <c r="C229"/>
      <c r="D229"/>
    </row>
    <row r="230" spans="1:4" x14ac:dyDescent="0.2">
      <c r="A230"/>
      <c r="B230"/>
      <c r="C230"/>
      <c r="D230"/>
    </row>
    <row r="231" spans="1:4" x14ac:dyDescent="0.2">
      <c r="A231"/>
      <c r="B231"/>
      <c r="C231"/>
      <c r="D231"/>
    </row>
    <row r="232" spans="1:4" x14ac:dyDescent="0.2">
      <c r="A232"/>
      <c r="B232"/>
      <c r="C232"/>
      <c r="D232"/>
    </row>
    <row r="233" spans="1:4" x14ac:dyDescent="0.2">
      <c r="A233"/>
      <c r="B233"/>
      <c r="C233"/>
      <c r="D233"/>
    </row>
    <row r="234" spans="1:4" x14ac:dyDescent="0.2">
      <c r="A234"/>
      <c r="B234"/>
      <c r="C234"/>
      <c r="D234"/>
    </row>
    <row r="235" spans="1:4" x14ac:dyDescent="0.2">
      <c r="A235"/>
      <c r="B235"/>
      <c r="C235"/>
      <c r="D235"/>
    </row>
    <row r="236" spans="1:4" x14ac:dyDescent="0.2">
      <c r="A236"/>
      <c r="B236"/>
      <c r="C236"/>
      <c r="D236"/>
    </row>
    <row r="237" spans="1:4" x14ac:dyDescent="0.2">
      <c r="A237"/>
      <c r="B237"/>
      <c r="C237"/>
      <c r="D237"/>
    </row>
    <row r="238" spans="1:4" x14ac:dyDescent="0.2">
      <c r="A238"/>
      <c r="B238"/>
      <c r="C238"/>
      <c r="D238"/>
    </row>
    <row r="239" spans="1:4" x14ac:dyDescent="0.2">
      <c r="A239"/>
      <c r="B239"/>
      <c r="C239"/>
      <c r="D239"/>
    </row>
    <row r="240" spans="1:4" x14ac:dyDescent="0.2">
      <c r="A240"/>
      <c r="B240"/>
      <c r="C240"/>
      <c r="D240"/>
    </row>
    <row r="241" spans="1:4" x14ac:dyDescent="0.2">
      <c r="A241"/>
      <c r="B241"/>
      <c r="C241"/>
      <c r="D241"/>
    </row>
    <row r="242" spans="1:4" x14ac:dyDescent="0.2">
      <c r="A242"/>
      <c r="B242"/>
      <c r="C242"/>
      <c r="D242"/>
    </row>
    <row r="243" spans="1:4" x14ac:dyDescent="0.2">
      <c r="A243"/>
      <c r="B243"/>
      <c r="C243"/>
      <c r="D243"/>
    </row>
    <row r="244" spans="1:4" x14ac:dyDescent="0.2">
      <c r="A244"/>
      <c r="B244"/>
      <c r="C244"/>
      <c r="D244"/>
    </row>
    <row r="245" spans="1:4" x14ac:dyDescent="0.2">
      <c r="A245"/>
      <c r="B245"/>
      <c r="C245"/>
      <c r="D245"/>
    </row>
    <row r="246" spans="1:4" x14ac:dyDescent="0.2">
      <c r="A246"/>
      <c r="B246"/>
      <c r="C246"/>
      <c r="D246"/>
    </row>
    <row r="247" spans="1:4" x14ac:dyDescent="0.2">
      <c r="A247"/>
      <c r="B247"/>
      <c r="C247"/>
      <c r="D247"/>
    </row>
    <row r="248" spans="1:4" x14ac:dyDescent="0.2">
      <c r="A248"/>
      <c r="B248"/>
      <c r="C248"/>
      <c r="D248"/>
    </row>
    <row r="249" spans="1:4" x14ac:dyDescent="0.2">
      <c r="A249"/>
      <c r="B249"/>
      <c r="C249"/>
      <c r="D249"/>
    </row>
    <row r="250" spans="1:4" x14ac:dyDescent="0.2">
      <c r="A250"/>
      <c r="B250"/>
      <c r="C250"/>
      <c r="D250"/>
    </row>
    <row r="251" spans="1:4" x14ac:dyDescent="0.2">
      <c r="A251"/>
      <c r="B251"/>
      <c r="C251"/>
      <c r="D251"/>
    </row>
    <row r="252" spans="1:4" x14ac:dyDescent="0.2">
      <c r="A252"/>
      <c r="B252"/>
      <c r="C252"/>
      <c r="D252"/>
    </row>
    <row r="253" spans="1:4" x14ac:dyDescent="0.2">
      <c r="A253"/>
      <c r="B253"/>
      <c r="C253"/>
      <c r="D253"/>
    </row>
    <row r="254" spans="1:4" x14ac:dyDescent="0.2">
      <c r="A254"/>
      <c r="B254"/>
      <c r="C254"/>
      <c r="D254"/>
    </row>
    <row r="255" spans="1:4" x14ac:dyDescent="0.2">
      <c r="A255"/>
      <c r="B255"/>
      <c r="C255"/>
      <c r="D255"/>
    </row>
    <row r="256" spans="1:4" x14ac:dyDescent="0.2">
      <c r="A256"/>
      <c r="B256"/>
      <c r="C256"/>
      <c r="D256"/>
    </row>
    <row r="257" spans="1:4" x14ac:dyDescent="0.2">
      <c r="A257"/>
      <c r="B257"/>
      <c r="C257"/>
      <c r="D257"/>
    </row>
    <row r="258" spans="1:4" x14ac:dyDescent="0.2">
      <c r="A258"/>
      <c r="B258"/>
      <c r="C258"/>
      <c r="D258"/>
    </row>
    <row r="259" spans="1:4" x14ac:dyDescent="0.2">
      <c r="A259"/>
      <c r="B259"/>
      <c r="C259"/>
      <c r="D259"/>
    </row>
    <row r="260" spans="1:4" x14ac:dyDescent="0.2">
      <c r="A260"/>
      <c r="B260"/>
      <c r="C260"/>
      <c r="D260"/>
    </row>
    <row r="261" spans="1:4" x14ac:dyDescent="0.2">
      <c r="A261"/>
      <c r="B261"/>
      <c r="C261"/>
      <c r="D261"/>
    </row>
    <row r="262" spans="1:4" x14ac:dyDescent="0.2">
      <c r="A262"/>
      <c r="B262"/>
      <c r="C262"/>
      <c r="D262"/>
    </row>
    <row r="263" spans="1:4" x14ac:dyDescent="0.2">
      <c r="A263"/>
      <c r="B263"/>
      <c r="C263"/>
      <c r="D263"/>
    </row>
    <row r="264" spans="1:4" x14ac:dyDescent="0.2">
      <c r="A264"/>
      <c r="B264"/>
      <c r="C264"/>
      <c r="D264"/>
    </row>
    <row r="265" spans="1:4" x14ac:dyDescent="0.2">
      <c r="A265"/>
      <c r="B265"/>
      <c r="C265"/>
      <c r="D265"/>
    </row>
    <row r="266" spans="1:4" x14ac:dyDescent="0.2">
      <c r="A266"/>
      <c r="B266"/>
      <c r="C266"/>
      <c r="D266"/>
    </row>
    <row r="267" spans="1:4" x14ac:dyDescent="0.2">
      <c r="A267"/>
      <c r="B267"/>
      <c r="C267"/>
      <c r="D267"/>
    </row>
    <row r="268" spans="1:4" x14ac:dyDescent="0.2">
      <c r="A268"/>
      <c r="B268"/>
      <c r="C268"/>
      <c r="D268"/>
    </row>
    <row r="269" spans="1:4" x14ac:dyDescent="0.2">
      <c r="A269"/>
      <c r="B269"/>
      <c r="C269"/>
      <c r="D269"/>
    </row>
    <row r="270" spans="1:4" x14ac:dyDescent="0.2">
      <c r="A270"/>
      <c r="B270"/>
      <c r="C270"/>
      <c r="D270"/>
    </row>
    <row r="271" spans="1:4" x14ac:dyDescent="0.2">
      <c r="A271"/>
      <c r="B271"/>
      <c r="C271"/>
      <c r="D271"/>
    </row>
    <row r="272" spans="1:4" x14ac:dyDescent="0.2">
      <c r="A272"/>
      <c r="B272"/>
      <c r="C272"/>
      <c r="D272"/>
    </row>
    <row r="273" spans="1:4" x14ac:dyDescent="0.2">
      <c r="A273"/>
      <c r="B273"/>
      <c r="C273"/>
      <c r="D273"/>
    </row>
    <row r="274" spans="1:4" x14ac:dyDescent="0.2">
      <c r="A274"/>
      <c r="B274"/>
      <c r="C274"/>
      <c r="D274"/>
    </row>
    <row r="275" spans="1:4" x14ac:dyDescent="0.2">
      <c r="A275"/>
      <c r="B275"/>
      <c r="C275"/>
      <c r="D275"/>
    </row>
    <row r="276" spans="1:4" x14ac:dyDescent="0.2">
      <c r="A276"/>
      <c r="B276"/>
      <c r="C276"/>
      <c r="D276"/>
    </row>
    <row r="277" spans="1:4" x14ac:dyDescent="0.2">
      <c r="A277"/>
      <c r="B277"/>
      <c r="C277"/>
      <c r="D277"/>
    </row>
    <row r="278" spans="1:4" x14ac:dyDescent="0.2">
      <c r="A278"/>
      <c r="B278"/>
      <c r="C278"/>
      <c r="D278"/>
    </row>
    <row r="279" spans="1:4" x14ac:dyDescent="0.2">
      <c r="A279"/>
      <c r="B279"/>
      <c r="C279"/>
      <c r="D279"/>
    </row>
    <row r="280" spans="1:4" x14ac:dyDescent="0.2">
      <c r="A280"/>
      <c r="B280"/>
      <c r="C280"/>
      <c r="D280"/>
    </row>
    <row r="281" spans="1:4" x14ac:dyDescent="0.2">
      <c r="A281"/>
      <c r="B281"/>
      <c r="C281"/>
      <c r="D281"/>
    </row>
    <row r="282" spans="1:4" x14ac:dyDescent="0.2">
      <c r="A282"/>
      <c r="B282"/>
      <c r="C282"/>
      <c r="D282"/>
    </row>
    <row r="283" spans="1:4" x14ac:dyDescent="0.2">
      <c r="A283"/>
      <c r="B283"/>
      <c r="C283"/>
      <c r="D283"/>
    </row>
    <row r="284" spans="1:4" x14ac:dyDescent="0.2">
      <c r="A284"/>
      <c r="B284"/>
      <c r="C284"/>
      <c r="D284"/>
    </row>
    <row r="285" spans="1:4" x14ac:dyDescent="0.2">
      <c r="A285"/>
      <c r="B285"/>
      <c r="C285"/>
      <c r="D285"/>
    </row>
    <row r="286" spans="1:4" x14ac:dyDescent="0.2">
      <c r="A286"/>
      <c r="B286"/>
      <c r="C286"/>
      <c r="D286"/>
    </row>
    <row r="287" spans="1:4" x14ac:dyDescent="0.2">
      <c r="A287"/>
      <c r="B287"/>
      <c r="C287"/>
      <c r="D287"/>
    </row>
    <row r="288" spans="1:4" x14ac:dyDescent="0.2">
      <c r="A288"/>
      <c r="B288"/>
      <c r="C288"/>
      <c r="D288"/>
    </row>
    <row r="289" spans="1:4" x14ac:dyDescent="0.2">
      <c r="A289"/>
      <c r="B289"/>
      <c r="C289"/>
      <c r="D289"/>
    </row>
    <row r="290" spans="1:4" x14ac:dyDescent="0.2">
      <c r="A290"/>
      <c r="B290"/>
      <c r="C290"/>
      <c r="D290"/>
    </row>
    <row r="291" spans="1:4" x14ac:dyDescent="0.2">
      <c r="A291"/>
      <c r="B291"/>
      <c r="C291"/>
      <c r="D291"/>
    </row>
    <row r="292" spans="1:4" x14ac:dyDescent="0.2">
      <c r="A292"/>
      <c r="B292"/>
      <c r="C292"/>
      <c r="D292"/>
    </row>
    <row r="293" spans="1:4" x14ac:dyDescent="0.2">
      <c r="A293"/>
      <c r="B293"/>
      <c r="C293"/>
      <c r="D293"/>
    </row>
    <row r="294" spans="1:4" x14ac:dyDescent="0.2">
      <c r="A294"/>
      <c r="B294"/>
      <c r="C294"/>
      <c r="D294"/>
    </row>
    <row r="295" spans="1:4" x14ac:dyDescent="0.2">
      <c r="A295"/>
      <c r="B295"/>
      <c r="C295"/>
      <c r="D295"/>
    </row>
    <row r="296" spans="1:4" x14ac:dyDescent="0.2">
      <c r="A296"/>
      <c r="B296"/>
      <c r="C296"/>
      <c r="D296"/>
    </row>
    <row r="297" spans="1:4" x14ac:dyDescent="0.2">
      <c r="A297"/>
      <c r="B297"/>
      <c r="C297"/>
      <c r="D297"/>
    </row>
    <row r="298" spans="1:4" x14ac:dyDescent="0.2">
      <c r="A298"/>
      <c r="B298"/>
      <c r="C298"/>
      <c r="D298"/>
    </row>
    <row r="299" spans="1:4" x14ac:dyDescent="0.2">
      <c r="A299"/>
      <c r="B299"/>
      <c r="C299"/>
      <c r="D299"/>
    </row>
    <row r="300" spans="1:4" x14ac:dyDescent="0.2">
      <c r="A300"/>
      <c r="B300"/>
      <c r="C300"/>
      <c r="D300"/>
    </row>
    <row r="301" spans="1:4" x14ac:dyDescent="0.2">
      <c r="A301"/>
      <c r="B301"/>
      <c r="C301"/>
      <c r="D301"/>
    </row>
    <row r="302" spans="1:4" x14ac:dyDescent="0.2">
      <c r="A302"/>
      <c r="B302"/>
      <c r="C302"/>
      <c r="D302"/>
    </row>
    <row r="303" spans="1:4" x14ac:dyDescent="0.2">
      <c r="A303"/>
      <c r="B303"/>
      <c r="C303"/>
      <c r="D303"/>
    </row>
    <row r="304" spans="1:4" x14ac:dyDescent="0.2">
      <c r="A304"/>
      <c r="B304"/>
      <c r="C304"/>
      <c r="D304"/>
    </row>
    <row r="305" spans="1:4" x14ac:dyDescent="0.2">
      <c r="A305"/>
      <c r="B305"/>
      <c r="C305"/>
      <c r="D305"/>
    </row>
    <row r="306" spans="1:4" x14ac:dyDescent="0.2">
      <c r="A306"/>
      <c r="B306"/>
      <c r="C306"/>
      <c r="D306"/>
    </row>
    <row r="307" spans="1:4" x14ac:dyDescent="0.2">
      <c r="A307"/>
      <c r="B307"/>
      <c r="C307"/>
      <c r="D307"/>
    </row>
    <row r="308" spans="1:4" x14ac:dyDescent="0.2">
      <c r="A308"/>
      <c r="B308"/>
      <c r="C308"/>
      <c r="D308"/>
    </row>
    <row r="309" spans="1:4" x14ac:dyDescent="0.2">
      <c r="A309"/>
      <c r="B309"/>
      <c r="C309"/>
      <c r="D309"/>
    </row>
    <row r="310" spans="1:4" x14ac:dyDescent="0.2">
      <c r="A310"/>
      <c r="B310"/>
      <c r="C310"/>
      <c r="D310"/>
    </row>
    <row r="311" spans="1:4" x14ac:dyDescent="0.2">
      <c r="A311"/>
      <c r="B311"/>
      <c r="C311"/>
      <c r="D311"/>
    </row>
    <row r="312" spans="1:4" x14ac:dyDescent="0.2">
      <c r="A312"/>
      <c r="B312"/>
      <c r="C312"/>
      <c r="D312"/>
    </row>
    <row r="313" spans="1:4" x14ac:dyDescent="0.2">
      <c r="A313"/>
      <c r="B313"/>
      <c r="C313"/>
      <c r="D313"/>
    </row>
    <row r="314" spans="1:4" x14ac:dyDescent="0.2">
      <c r="A314"/>
      <c r="B314"/>
      <c r="C314"/>
      <c r="D314"/>
    </row>
    <row r="315" spans="1:4" x14ac:dyDescent="0.2">
      <c r="A315"/>
      <c r="B315"/>
      <c r="C315"/>
      <c r="D315"/>
    </row>
    <row r="316" spans="1:4" x14ac:dyDescent="0.2">
      <c r="A316"/>
      <c r="B316"/>
      <c r="C316"/>
      <c r="D316"/>
    </row>
    <row r="317" spans="1:4" x14ac:dyDescent="0.2">
      <c r="A317"/>
      <c r="B317"/>
      <c r="C317"/>
      <c r="D317"/>
    </row>
    <row r="318" spans="1:4" x14ac:dyDescent="0.2">
      <c r="A318"/>
      <c r="B318"/>
      <c r="C318"/>
      <c r="D318"/>
    </row>
    <row r="319" spans="1:4" x14ac:dyDescent="0.2">
      <c r="A319"/>
      <c r="B319"/>
      <c r="C319"/>
      <c r="D319"/>
    </row>
    <row r="320" spans="1:4" x14ac:dyDescent="0.2">
      <c r="A320"/>
      <c r="B320"/>
      <c r="C320"/>
      <c r="D320"/>
    </row>
    <row r="321" spans="1:4" x14ac:dyDescent="0.2">
      <c r="A321"/>
      <c r="B321"/>
      <c r="C321"/>
      <c r="D321"/>
    </row>
    <row r="322" spans="1:4" x14ac:dyDescent="0.2">
      <c r="A322"/>
      <c r="B322"/>
      <c r="C322"/>
      <c r="D322"/>
    </row>
    <row r="323" spans="1:4" x14ac:dyDescent="0.2">
      <c r="A323"/>
      <c r="B323"/>
      <c r="C323"/>
      <c r="D323"/>
    </row>
    <row r="324" spans="1:4" x14ac:dyDescent="0.2">
      <c r="A324"/>
      <c r="B324"/>
      <c r="C324"/>
      <c r="D324"/>
    </row>
    <row r="325" spans="1:4" x14ac:dyDescent="0.2">
      <c r="A325"/>
      <c r="B325"/>
      <c r="C325"/>
      <c r="D325"/>
    </row>
    <row r="326" spans="1:4" x14ac:dyDescent="0.2">
      <c r="A326"/>
      <c r="B326"/>
      <c r="C326"/>
      <c r="D326"/>
    </row>
    <row r="327" spans="1:4" x14ac:dyDescent="0.2">
      <c r="A327"/>
      <c r="B327"/>
      <c r="C327"/>
      <c r="D327"/>
    </row>
    <row r="328" spans="1:4" x14ac:dyDescent="0.2">
      <c r="A328"/>
      <c r="B328"/>
      <c r="C328"/>
      <c r="D328"/>
    </row>
    <row r="329" spans="1:4" x14ac:dyDescent="0.2">
      <c r="A329"/>
      <c r="B329"/>
      <c r="C329"/>
      <c r="D329"/>
    </row>
    <row r="330" spans="1:4" x14ac:dyDescent="0.2">
      <c r="A330"/>
      <c r="B330"/>
      <c r="C330"/>
      <c r="D330"/>
    </row>
    <row r="331" spans="1:4" x14ac:dyDescent="0.2">
      <c r="A331"/>
      <c r="B331"/>
      <c r="C331"/>
      <c r="D331"/>
    </row>
    <row r="332" spans="1:4" x14ac:dyDescent="0.2">
      <c r="A332"/>
      <c r="B332"/>
      <c r="C332"/>
      <c r="D332"/>
    </row>
    <row r="333" spans="1:4" x14ac:dyDescent="0.2">
      <c r="A333"/>
      <c r="B333"/>
      <c r="C333"/>
      <c r="D333"/>
    </row>
    <row r="334" spans="1:4" x14ac:dyDescent="0.2">
      <c r="A334"/>
      <c r="B334"/>
      <c r="C334"/>
      <c r="D334"/>
    </row>
    <row r="335" spans="1:4" x14ac:dyDescent="0.2">
      <c r="A335"/>
      <c r="B335"/>
      <c r="C335"/>
      <c r="D335"/>
    </row>
    <row r="336" spans="1:4" x14ac:dyDescent="0.2">
      <c r="A336"/>
      <c r="B336"/>
      <c r="C336"/>
      <c r="D336"/>
    </row>
    <row r="337" spans="1:4" x14ac:dyDescent="0.2">
      <c r="A337"/>
      <c r="B337"/>
      <c r="C337"/>
      <c r="D337"/>
    </row>
    <row r="338" spans="1:4" x14ac:dyDescent="0.2">
      <c r="A338"/>
      <c r="B338"/>
      <c r="C338"/>
      <c r="D338"/>
    </row>
    <row r="339" spans="1:4" x14ac:dyDescent="0.2">
      <c r="A339"/>
      <c r="B339"/>
      <c r="C339"/>
      <c r="D339"/>
    </row>
    <row r="340" spans="1:4" x14ac:dyDescent="0.2">
      <c r="A340"/>
      <c r="B340"/>
      <c r="C340"/>
      <c r="D340"/>
    </row>
    <row r="341" spans="1:4" x14ac:dyDescent="0.2">
      <c r="A341"/>
      <c r="B341"/>
      <c r="C341"/>
      <c r="D341"/>
    </row>
    <row r="342" spans="1:4" x14ac:dyDescent="0.2">
      <c r="A342"/>
      <c r="B342"/>
      <c r="C342"/>
      <c r="D342"/>
    </row>
    <row r="343" spans="1:4" x14ac:dyDescent="0.2">
      <c r="A343"/>
      <c r="B343"/>
      <c r="C343"/>
      <c r="D343"/>
    </row>
    <row r="344" spans="1:4" x14ac:dyDescent="0.2">
      <c r="A344"/>
      <c r="B344"/>
      <c r="C344"/>
      <c r="D344"/>
    </row>
    <row r="345" spans="1:4" x14ac:dyDescent="0.2">
      <c r="A345"/>
      <c r="B345"/>
      <c r="C345"/>
      <c r="D345"/>
    </row>
    <row r="346" spans="1:4" x14ac:dyDescent="0.2">
      <c r="A346"/>
      <c r="B346"/>
      <c r="C346"/>
      <c r="D346"/>
    </row>
    <row r="347" spans="1:4" x14ac:dyDescent="0.2">
      <c r="A347"/>
      <c r="B347"/>
      <c r="C347"/>
      <c r="D347"/>
    </row>
    <row r="348" spans="1:4" x14ac:dyDescent="0.2">
      <c r="A348"/>
      <c r="B348"/>
      <c r="C348"/>
      <c r="D348"/>
    </row>
    <row r="349" spans="1:4" x14ac:dyDescent="0.2">
      <c r="A349"/>
      <c r="B349"/>
      <c r="C349"/>
      <c r="D349"/>
    </row>
    <row r="350" spans="1:4" x14ac:dyDescent="0.2">
      <c r="A350"/>
      <c r="B350"/>
      <c r="C350"/>
      <c r="D350"/>
    </row>
    <row r="351" spans="1:4" x14ac:dyDescent="0.2">
      <c r="A351"/>
      <c r="B351"/>
      <c r="C351"/>
      <c r="D351"/>
    </row>
    <row r="352" spans="1:4" x14ac:dyDescent="0.2">
      <c r="A352"/>
      <c r="B352"/>
      <c r="C352"/>
      <c r="D352"/>
    </row>
    <row r="353" spans="1:4" x14ac:dyDescent="0.2">
      <c r="A353"/>
      <c r="B353"/>
      <c r="C353"/>
      <c r="D353"/>
    </row>
    <row r="354" spans="1:4" x14ac:dyDescent="0.2">
      <c r="A354"/>
      <c r="B354"/>
      <c r="C354"/>
      <c r="D354"/>
    </row>
    <row r="355" spans="1:4" x14ac:dyDescent="0.2">
      <c r="A355"/>
      <c r="B355"/>
      <c r="C355"/>
      <c r="D355"/>
    </row>
    <row r="356" spans="1:4" x14ac:dyDescent="0.2">
      <c r="A356"/>
      <c r="B356"/>
      <c r="C356"/>
      <c r="D356"/>
    </row>
    <row r="357" spans="1:4" x14ac:dyDescent="0.2">
      <c r="A357"/>
      <c r="B357"/>
      <c r="C357"/>
      <c r="D357"/>
    </row>
    <row r="358" spans="1:4" x14ac:dyDescent="0.2">
      <c r="A358"/>
      <c r="B358"/>
      <c r="C358"/>
      <c r="D358"/>
    </row>
    <row r="359" spans="1:4" x14ac:dyDescent="0.2">
      <c r="A359"/>
      <c r="B359"/>
      <c r="C359"/>
      <c r="D359"/>
    </row>
    <row r="360" spans="1:4" x14ac:dyDescent="0.2">
      <c r="A360"/>
      <c r="B360"/>
      <c r="C360"/>
      <c r="D360"/>
    </row>
    <row r="361" spans="1:4" x14ac:dyDescent="0.2">
      <c r="A361"/>
      <c r="B361"/>
      <c r="C361"/>
      <c r="D361"/>
    </row>
    <row r="362" spans="1:4" x14ac:dyDescent="0.2">
      <c r="A362"/>
      <c r="B362"/>
      <c r="C362"/>
      <c r="D362"/>
    </row>
    <row r="363" spans="1:4" x14ac:dyDescent="0.2">
      <c r="A363"/>
      <c r="B363"/>
      <c r="C363"/>
      <c r="D363"/>
    </row>
    <row r="364" spans="1:4" x14ac:dyDescent="0.2">
      <c r="A364"/>
      <c r="B364"/>
      <c r="C364"/>
      <c r="D364"/>
    </row>
    <row r="365" spans="1:4" x14ac:dyDescent="0.2">
      <c r="A365"/>
      <c r="B365"/>
      <c r="C365"/>
      <c r="D365"/>
    </row>
    <row r="366" spans="1:4" x14ac:dyDescent="0.2">
      <c r="A366"/>
      <c r="B366"/>
      <c r="C366"/>
      <c r="D366"/>
    </row>
    <row r="367" spans="1:4" x14ac:dyDescent="0.2">
      <c r="A367"/>
      <c r="B367"/>
      <c r="C367"/>
      <c r="D367"/>
    </row>
    <row r="368" spans="1:4" x14ac:dyDescent="0.2">
      <c r="A368"/>
      <c r="B368"/>
      <c r="C368"/>
      <c r="D368"/>
    </row>
    <row r="369" spans="1:4" x14ac:dyDescent="0.2">
      <c r="A369"/>
      <c r="B369"/>
      <c r="C369"/>
      <c r="D369"/>
    </row>
    <row r="370" spans="1:4" x14ac:dyDescent="0.2">
      <c r="A370"/>
      <c r="B370"/>
      <c r="C370"/>
      <c r="D370"/>
    </row>
    <row r="371" spans="1:4" x14ac:dyDescent="0.2">
      <c r="A371"/>
      <c r="B371"/>
      <c r="C371"/>
      <c r="D371"/>
    </row>
  </sheetData>
  <sheetProtection formatColumns="0" formatRows="0" insertColumns="0" insertRows="0"/>
  <mergeCells count="1">
    <mergeCell ref="A1:F1"/>
  </mergeCells>
  <pageMargins left="0.7" right="0.7" top="0.75" bottom="0.75" header="0.3" footer="0.3"/>
  <pageSetup orientation="landscape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D9655-2F67-4302-96B6-B6A6AD65B5F0}">
  <sheetPr codeName="Sheet12">
    <tabColor rgb="FF00B0F0"/>
  </sheetPr>
  <dimension ref="A1:G273"/>
  <sheetViews>
    <sheetView zoomScale="92" zoomScaleNormal="37" workbookViewId="0">
      <pane ySplit="1" topLeftCell="A2" activePane="bottomLeft" state="frozen"/>
      <selection pane="bottomLeft" activeCell="B29" sqref="B29"/>
    </sheetView>
  </sheetViews>
  <sheetFormatPr baseColWidth="10" defaultColWidth="9.1640625" defaultRowHeight="15" x14ac:dyDescent="0.2"/>
  <cols>
    <col min="1" max="1" width="55.33203125" style="1" customWidth="1"/>
    <col min="2" max="2" width="56.33203125" style="1" customWidth="1"/>
    <col min="3" max="3" width="20.33203125" style="11" customWidth="1"/>
    <col min="4" max="4" width="12.1640625" style="1" customWidth="1"/>
    <col min="5" max="5" width="19.1640625" style="1" bestFit="1" customWidth="1"/>
    <col min="6" max="6" width="19.1640625" bestFit="1" customWidth="1"/>
    <col min="7" max="7" width="19.1640625" style="1" bestFit="1" customWidth="1"/>
    <col min="8" max="16384" width="9.1640625" style="1"/>
  </cols>
  <sheetData>
    <row r="1" spans="1:7" ht="61.5" customHeight="1" x14ac:dyDescent="0.2">
      <c r="A1" s="27" t="s">
        <v>1</v>
      </c>
      <c r="B1" s="28"/>
      <c r="C1" s="28"/>
      <c r="D1" s="28"/>
      <c r="E1" s="28"/>
      <c r="F1" s="28"/>
      <c r="G1" s="28"/>
    </row>
    <row r="2" spans="1:7" ht="19" x14ac:dyDescent="0.25">
      <c r="A2" s="6" t="s">
        <v>286</v>
      </c>
      <c r="B2" s="6" t="s">
        <v>3</v>
      </c>
      <c r="C2" s="18" t="s">
        <v>9</v>
      </c>
      <c r="D2" s="6" t="s">
        <v>10</v>
      </c>
      <c r="E2" s="6" t="s">
        <v>32</v>
      </c>
      <c r="F2" s="6" t="s">
        <v>11</v>
      </c>
      <c r="G2" s="6" t="s">
        <v>38</v>
      </c>
    </row>
    <row r="3" spans="1:7" ht="19" x14ac:dyDescent="0.25">
      <c r="A3" s="7" t="s">
        <v>315</v>
      </c>
      <c r="B3" s="7" t="s">
        <v>316</v>
      </c>
      <c r="C3" s="7" t="s">
        <v>317</v>
      </c>
      <c r="D3" s="7">
        <v>0.51</v>
      </c>
      <c r="E3" s="7" t="s">
        <v>14</v>
      </c>
      <c r="F3" s="7" t="s">
        <v>19</v>
      </c>
      <c r="G3" s="7" t="s">
        <v>318</v>
      </c>
    </row>
    <row r="4" spans="1:7" ht="19" x14ac:dyDescent="0.25">
      <c r="A4" s="7"/>
      <c r="B4" s="7" t="s">
        <v>319</v>
      </c>
      <c r="C4" s="7" t="s">
        <v>317</v>
      </c>
      <c r="D4" s="7">
        <v>0.51</v>
      </c>
      <c r="E4" s="7" t="s">
        <v>14</v>
      </c>
      <c r="F4" s="7" t="s">
        <v>19</v>
      </c>
      <c r="G4" s="7" t="s">
        <v>320</v>
      </c>
    </row>
    <row r="5" spans="1:7" ht="19" x14ac:dyDescent="0.25">
      <c r="A5" s="7"/>
      <c r="B5" s="7" t="s">
        <v>321</v>
      </c>
      <c r="C5" s="24" t="s">
        <v>317</v>
      </c>
      <c r="D5" s="7">
        <v>0.42</v>
      </c>
      <c r="E5" s="7" t="s">
        <v>14</v>
      </c>
      <c r="F5" s="7" t="s">
        <v>19</v>
      </c>
      <c r="G5" s="7" t="s">
        <v>322</v>
      </c>
    </row>
    <row r="6" spans="1:7" ht="19" x14ac:dyDescent="0.25">
      <c r="A6" s="7"/>
      <c r="B6" s="7" t="s">
        <v>323</v>
      </c>
      <c r="C6" s="24" t="s">
        <v>324</v>
      </c>
      <c r="D6" s="7">
        <v>0.35</v>
      </c>
      <c r="E6" s="7" t="s">
        <v>14</v>
      </c>
      <c r="F6" s="7" t="s">
        <v>19</v>
      </c>
      <c r="G6" s="7" t="s">
        <v>325</v>
      </c>
    </row>
    <row r="7" spans="1:7" ht="19" x14ac:dyDescent="0.25">
      <c r="A7" s="7"/>
      <c r="B7" s="7" t="s">
        <v>326</v>
      </c>
      <c r="C7" s="7" t="s">
        <v>324</v>
      </c>
      <c r="D7" s="7">
        <v>0.03</v>
      </c>
      <c r="E7" s="7" t="s">
        <v>14</v>
      </c>
      <c r="F7" s="7" t="s">
        <v>19</v>
      </c>
      <c r="G7" s="7" t="s">
        <v>327</v>
      </c>
    </row>
    <row r="8" spans="1:7" ht="19" x14ac:dyDescent="0.25">
      <c r="A8" s="7"/>
      <c r="B8" s="7" t="s">
        <v>328</v>
      </c>
      <c r="C8" s="24" t="s">
        <v>324</v>
      </c>
      <c r="D8" s="7">
        <v>0.03</v>
      </c>
      <c r="E8" s="7" t="s">
        <v>14</v>
      </c>
      <c r="F8" s="7" t="s">
        <v>19</v>
      </c>
      <c r="G8" s="7" t="s">
        <v>329</v>
      </c>
    </row>
    <row r="9" spans="1:7" ht="19" x14ac:dyDescent="0.25">
      <c r="A9" s="7"/>
      <c r="B9" s="7" t="s">
        <v>330</v>
      </c>
      <c r="C9" s="7" t="s">
        <v>324</v>
      </c>
      <c r="D9" s="7">
        <v>0.04</v>
      </c>
      <c r="E9" s="7" t="s">
        <v>14</v>
      </c>
      <c r="F9" s="7" t="s">
        <v>19</v>
      </c>
      <c r="G9" s="7" t="s">
        <v>331</v>
      </c>
    </row>
    <row r="10" spans="1:7" ht="19" x14ac:dyDescent="0.25">
      <c r="A10" s="7" t="s">
        <v>332</v>
      </c>
      <c r="B10" s="7" t="s">
        <v>333</v>
      </c>
      <c r="C10" s="24" t="s">
        <v>16</v>
      </c>
      <c r="D10" s="7">
        <v>31.52</v>
      </c>
      <c r="E10" s="7" t="s">
        <v>14</v>
      </c>
      <c r="F10" s="7" t="s">
        <v>17</v>
      </c>
      <c r="G10" s="7" t="s">
        <v>334</v>
      </c>
    </row>
    <row r="11" spans="1:7" ht="19" x14ac:dyDescent="0.25">
      <c r="A11" s="7"/>
      <c r="B11" s="7" t="s">
        <v>335</v>
      </c>
      <c r="C11" s="7" t="s">
        <v>16</v>
      </c>
      <c r="D11" s="7">
        <v>15.76</v>
      </c>
      <c r="E11" s="7" t="s">
        <v>14</v>
      </c>
      <c r="F11" s="7" t="s">
        <v>19</v>
      </c>
      <c r="G11" s="7" t="s">
        <v>336</v>
      </c>
    </row>
    <row r="12" spans="1:7" ht="19" x14ac:dyDescent="0.25">
      <c r="A12" s="7"/>
      <c r="B12" s="7" t="s">
        <v>337</v>
      </c>
      <c r="C12" s="7" t="s">
        <v>16</v>
      </c>
      <c r="D12" s="7">
        <v>7.74</v>
      </c>
      <c r="E12" s="7" t="s">
        <v>14</v>
      </c>
      <c r="F12" s="7" t="s">
        <v>19</v>
      </c>
      <c r="G12" s="7" t="s">
        <v>338</v>
      </c>
    </row>
    <row r="13" spans="1:7" ht="19" x14ac:dyDescent="0.25">
      <c r="A13" s="7"/>
      <c r="B13" s="7" t="s">
        <v>339</v>
      </c>
      <c r="C13" s="7" t="s">
        <v>16</v>
      </c>
      <c r="D13" s="7">
        <v>31.66</v>
      </c>
      <c r="E13" s="7" t="s">
        <v>14</v>
      </c>
      <c r="F13" s="7" t="s">
        <v>19</v>
      </c>
      <c r="G13" s="7" t="s">
        <v>340</v>
      </c>
    </row>
    <row r="14" spans="1:7" ht="19" x14ac:dyDescent="0.25">
      <c r="A14" s="7"/>
      <c r="B14" s="7" t="s">
        <v>341</v>
      </c>
      <c r="C14" s="7" t="s">
        <v>16</v>
      </c>
      <c r="D14" s="7">
        <v>14.18</v>
      </c>
      <c r="E14" s="7" t="s">
        <v>14</v>
      </c>
      <c r="F14" s="7" t="s">
        <v>19</v>
      </c>
      <c r="G14" s="7" t="s">
        <v>342</v>
      </c>
    </row>
    <row r="15" spans="1:7" ht="19" x14ac:dyDescent="0.25">
      <c r="A15" s="7"/>
      <c r="B15" s="7" t="s">
        <v>343</v>
      </c>
      <c r="C15" s="7" t="s">
        <v>16</v>
      </c>
      <c r="D15" s="7">
        <v>19.34</v>
      </c>
      <c r="E15" s="7" t="s">
        <v>14</v>
      </c>
      <c r="F15" s="7" t="s">
        <v>19</v>
      </c>
      <c r="G15" s="7" t="s">
        <v>344</v>
      </c>
    </row>
    <row r="16" spans="1:7" ht="19" x14ac:dyDescent="0.25">
      <c r="A16" s="7"/>
      <c r="B16" s="7" t="s">
        <v>345</v>
      </c>
      <c r="C16" s="7" t="s">
        <v>16</v>
      </c>
      <c r="D16" s="7">
        <v>12.89</v>
      </c>
      <c r="E16" s="7" t="s">
        <v>14</v>
      </c>
      <c r="F16" s="7" t="s">
        <v>19</v>
      </c>
      <c r="G16" s="7" t="s">
        <v>346</v>
      </c>
    </row>
    <row r="17" spans="1:7" ht="19" x14ac:dyDescent="0.25">
      <c r="A17" s="7"/>
      <c r="B17" s="7" t="s">
        <v>347</v>
      </c>
      <c r="C17" s="7" t="s">
        <v>16</v>
      </c>
      <c r="D17" s="7">
        <v>31.52</v>
      </c>
      <c r="E17" s="7" t="s">
        <v>14</v>
      </c>
      <c r="F17" s="7" t="s">
        <v>17</v>
      </c>
      <c r="G17" s="7" t="s">
        <v>348</v>
      </c>
    </row>
    <row r="18" spans="1:7" ht="19" x14ac:dyDescent="0.25">
      <c r="A18" s="7"/>
      <c r="B18" s="7" t="s">
        <v>349</v>
      </c>
      <c r="C18" s="7" t="s">
        <v>16</v>
      </c>
      <c r="D18" s="7">
        <v>15.76</v>
      </c>
      <c r="E18" s="7" t="s">
        <v>14</v>
      </c>
      <c r="F18" s="7" t="s">
        <v>19</v>
      </c>
      <c r="G18" s="7" t="s">
        <v>350</v>
      </c>
    </row>
    <row r="19" spans="1:7" ht="19" x14ac:dyDescent="0.25">
      <c r="A19" s="7"/>
      <c r="B19" s="7" t="s">
        <v>351</v>
      </c>
      <c r="C19" s="7" t="s">
        <v>16</v>
      </c>
      <c r="D19" s="7">
        <v>31.52</v>
      </c>
      <c r="E19" s="7" t="s">
        <v>14</v>
      </c>
      <c r="F19" s="7" t="s">
        <v>17</v>
      </c>
      <c r="G19" s="7" t="s">
        <v>352</v>
      </c>
    </row>
    <row r="20" spans="1:7" ht="19" x14ac:dyDescent="0.25">
      <c r="A20" s="7"/>
      <c r="B20" s="7" t="s">
        <v>353</v>
      </c>
      <c r="C20" s="7" t="s">
        <v>16</v>
      </c>
      <c r="D20" s="7">
        <v>15.76</v>
      </c>
      <c r="E20" s="7" t="s">
        <v>14</v>
      </c>
      <c r="F20" s="7" t="s">
        <v>19</v>
      </c>
      <c r="G20" s="7" t="s">
        <v>354</v>
      </c>
    </row>
    <row r="21" spans="1:7" ht="19" x14ac:dyDescent="0.25">
      <c r="A21" s="7" t="s">
        <v>355</v>
      </c>
      <c r="B21" s="7" t="s">
        <v>356</v>
      </c>
      <c r="C21" s="7" t="s">
        <v>357</v>
      </c>
      <c r="D21" s="7">
        <v>8.0120000000000005</v>
      </c>
      <c r="E21" s="7" t="s">
        <v>7</v>
      </c>
      <c r="F21" s="7" t="s">
        <v>19</v>
      </c>
      <c r="G21" s="7" t="s">
        <v>358</v>
      </c>
    </row>
    <row r="22" spans="1:7" ht="19" x14ac:dyDescent="0.25">
      <c r="A22" s="7"/>
      <c r="B22" s="7" t="s">
        <v>359</v>
      </c>
      <c r="C22" s="24" t="s">
        <v>357</v>
      </c>
      <c r="D22" s="7">
        <v>2.504</v>
      </c>
      <c r="E22" s="7" t="s">
        <v>7</v>
      </c>
      <c r="F22" s="7" t="s">
        <v>19</v>
      </c>
      <c r="G22" s="7" t="s">
        <v>360</v>
      </c>
    </row>
    <row r="23" spans="1:7" ht="19" x14ac:dyDescent="0.25">
      <c r="A23" s="7"/>
      <c r="B23" s="7" t="s">
        <v>361</v>
      </c>
      <c r="C23" s="7" t="s">
        <v>357</v>
      </c>
      <c r="D23" s="7">
        <v>2.504</v>
      </c>
      <c r="E23" s="7" t="s">
        <v>7</v>
      </c>
      <c r="F23" s="7" t="s">
        <v>19</v>
      </c>
      <c r="G23" s="7" t="s">
        <v>362</v>
      </c>
    </row>
    <row r="24" spans="1:7" ht="19" x14ac:dyDescent="0.25">
      <c r="A24" s="7"/>
      <c r="B24" s="7" t="s">
        <v>363</v>
      </c>
      <c r="C24" s="7" t="s">
        <v>357</v>
      </c>
      <c r="D24" s="7">
        <v>1.746</v>
      </c>
      <c r="E24" s="7" t="s">
        <v>7</v>
      </c>
      <c r="F24" s="7" t="s">
        <v>19</v>
      </c>
      <c r="G24" s="7" t="s">
        <v>364</v>
      </c>
    </row>
    <row r="25" spans="1:7" ht="19" x14ac:dyDescent="0.25">
      <c r="A25" s="7"/>
      <c r="B25" s="7" t="s">
        <v>365</v>
      </c>
      <c r="C25" s="7" t="s">
        <v>357</v>
      </c>
      <c r="D25" s="7">
        <v>0.89200000000000002</v>
      </c>
      <c r="E25" s="7" t="s">
        <v>7</v>
      </c>
      <c r="F25" s="7" t="s">
        <v>19</v>
      </c>
      <c r="G25" s="7" t="s">
        <v>366</v>
      </c>
    </row>
    <row r="26" spans="1:7" ht="19" x14ac:dyDescent="0.25">
      <c r="A26" s="7"/>
      <c r="B26" s="7" t="s">
        <v>367</v>
      </c>
      <c r="C26" s="7" t="s">
        <v>357</v>
      </c>
      <c r="D26" s="7">
        <v>0.11</v>
      </c>
      <c r="E26" s="7" t="s">
        <v>7</v>
      </c>
      <c r="F26" s="7" t="s">
        <v>19</v>
      </c>
      <c r="G26" s="7" t="s">
        <v>368</v>
      </c>
    </row>
    <row r="27" spans="1:7" ht="19" x14ac:dyDescent="0.25">
      <c r="A27" s="7"/>
      <c r="B27" s="7" t="s">
        <v>369</v>
      </c>
      <c r="C27" s="7" t="s">
        <v>357</v>
      </c>
      <c r="D27" s="7">
        <v>5.8079999999999998</v>
      </c>
      <c r="E27" s="7" t="s">
        <v>7</v>
      </c>
      <c r="F27" s="7" t="s">
        <v>19</v>
      </c>
      <c r="G27" s="7" t="s">
        <v>370</v>
      </c>
    </row>
    <row r="28" spans="1:7" ht="19" x14ac:dyDescent="0.25">
      <c r="A28" s="7"/>
      <c r="B28" s="7" t="s">
        <v>371</v>
      </c>
      <c r="C28" s="7" t="s">
        <v>357</v>
      </c>
      <c r="D28" s="7">
        <v>2.036</v>
      </c>
      <c r="E28" s="7" t="s">
        <v>7</v>
      </c>
      <c r="F28" s="7" t="s">
        <v>19</v>
      </c>
      <c r="G28" s="7" t="s">
        <v>372</v>
      </c>
    </row>
    <row r="29" spans="1:7" ht="19" x14ac:dyDescent="0.25">
      <c r="A29" s="7"/>
      <c r="B29" s="7" t="s">
        <v>373</v>
      </c>
      <c r="C29" s="24" t="s">
        <v>374</v>
      </c>
      <c r="D29" s="7">
        <v>0.89400000000000002</v>
      </c>
      <c r="E29" s="7" t="s">
        <v>7</v>
      </c>
      <c r="F29" s="7" t="s">
        <v>19</v>
      </c>
      <c r="G29" s="7" t="s">
        <v>375</v>
      </c>
    </row>
    <row r="30" spans="1:7" ht="19" x14ac:dyDescent="0.25">
      <c r="A30" s="7"/>
      <c r="B30" s="7" t="s">
        <v>376</v>
      </c>
      <c r="C30" s="7" t="s">
        <v>374</v>
      </c>
      <c r="D30" s="7">
        <v>1.4419999999999999</v>
      </c>
      <c r="E30" s="7" t="s">
        <v>7</v>
      </c>
      <c r="F30" s="7" t="s">
        <v>19</v>
      </c>
      <c r="G30" s="7" t="s">
        <v>377</v>
      </c>
    </row>
    <row r="31" spans="1:7" ht="19" x14ac:dyDescent="0.25">
      <c r="A31" s="7"/>
      <c r="B31" s="7" t="s">
        <v>613</v>
      </c>
      <c r="C31" s="7" t="s">
        <v>357</v>
      </c>
      <c r="D31" s="7">
        <v>2.452</v>
      </c>
      <c r="E31" s="7" t="s">
        <v>7</v>
      </c>
      <c r="F31" s="7" t="s">
        <v>287</v>
      </c>
      <c r="G31" s="7" t="s">
        <v>614</v>
      </c>
    </row>
    <row r="32" spans="1:7" ht="19" x14ac:dyDescent="0.25">
      <c r="A32" s="7"/>
      <c r="B32" s="7" t="s">
        <v>707</v>
      </c>
      <c r="C32" s="7" t="s">
        <v>357</v>
      </c>
      <c r="D32" s="7">
        <v>2.3159999999999998</v>
      </c>
      <c r="E32" s="7" t="s">
        <v>7</v>
      </c>
      <c r="F32" s="7" t="s">
        <v>19</v>
      </c>
      <c r="G32" s="7" t="s">
        <v>708</v>
      </c>
    </row>
    <row r="33" spans="1:7" ht="19" x14ac:dyDescent="0.25">
      <c r="A33" s="7"/>
      <c r="B33" s="7" t="s">
        <v>709</v>
      </c>
      <c r="C33" s="7" t="s">
        <v>357</v>
      </c>
      <c r="D33" s="7">
        <v>3.1339999999999999</v>
      </c>
      <c r="E33" s="7" t="s">
        <v>7</v>
      </c>
      <c r="F33" s="7" t="s">
        <v>19</v>
      </c>
      <c r="G33" s="7" t="s">
        <v>710</v>
      </c>
    </row>
    <row r="34" spans="1:7" ht="19" x14ac:dyDescent="0.25">
      <c r="A34" s="7"/>
      <c r="B34" s="7" t="s">
        <v>615</v>
      </c>
      <c r="C34" s="7" t="s">
        <v>357</v>
      </c>
      <c r="D34" s="7">
        <v>0</v>
      </c>
      <c r="E34" s="7" t="s">
        <v>7</v>
      </c>
      <c r="F34" s="7" t="s">
        <v>287</v>
      </c>
      <c r="G34" s="7" t="s">
        <v>616</v>
      </c>
    </row>
    <row r="35" spans="1:7" ht="19" x14ac:dyDescent="0.25">
      <c r="A35" s="7"/>
      <c r="B35" s="7"/>
      <c r="C35" s="7"/>
      <c r="D35" s="7"/>
      <c r="E35" s="7"/>
      <c r="F35" s="7"/>
      <c r="G35" s="7" t="s">
        <v>617</v>
      </c>
    </row>
    <row r="36" spans="1:7" ht="19" x14ac:dyDescent="0.25">
      <c r="A36" s="7"/>
      <c r="B36" s="7" t="s">
        <v>618</v>
      </c>
      <c r="C36" s="7" t="s">
        <v>357</v>
      </c>
      <c r="D36" s="7">
        <v>0</v>
      </c>
      <c r="E36" s="7" t="s">
        <v>7</v>
      </c>
      <c r="F36" s="7" t="s">
        <v>287</v>
      </c>
      <c r="G36" s="7" t="s">
        <v>619</v>
      </c>
    </row>
    <row r="37" spans="1:7" ht="19" x14ac:dyDescent="0.25">
      <c r="A37" s="7"/>
      <c r="B37" s="7" t="s">
        <v>620</v>
      </c>
      <c r="C37" s="7" t="s">
        <v>357</v>
      </c>
      <c r="D37" s="7">
        <v>0</v>
      </c>
      <c r="E37" s="7" t="s">
        <v>7</v>
      </c>
      <c r="F37" s="7" t="s">
        <v>287</v>
      </c>
      <c r="G37" s="7" t="s">
        <v>621</v>
      </c>
    </row>
    <row r="38" spans="1:7" ht="19" x14ac:dyDescent="0.25">
      <c r="A38" s="7"/>
      <c r="B38" s="7" t="s">
        <v>622</v>
      </c>
      <c r="C38" s="7" t="s">
        <v>357</v>
      </c>
      <c r="D38" s="7">
        <v>0</v>
      </c>
      <c r="E38" s="7" t="s">
        <v>7</v>
      </c>
      <c r="F38" s="7" t="s">
        <v>287</v>
      </c>
      <c r="G38" s="7" t="s">
        <v>623</v>
      </c>
    </row>
    <row r="39" spans="1:7" ht="19" x14ac:dyDescent="0.25">
      <c r="A39" s="7"/>
      <c r="B39" s="7" t="s">
        <v>624</v>
      </c>
      <c r="C39" s="7" t="s">
        <v>357</v>
      </c>
      <c r="D39" s="7">
        <v>0</v>
      </c>
      <c r="E39" s="7" t="s">
        <v>7</v>
      </c>
      <c r="F39" s="7" t="s">
        <v>287</v>
      </c>
      <c r="G39" s="7" t="s">
        <v>625</v>
      </c>
    </row>
    <row r="40" spans="1:7" ht="19" x14ac:dyDescent="0.25">
      <c r="A40" s="7"/>
      <c r="B40" s="7" t="s">
        <v>626</v>
      </c>
      <c r="C40" s="7" t="s">
        <v>357</v>
      </c>
      <c r="D40" s="7">
        <v>0.05</v>
      </c>
      <c r="E40" s="7" t="s">
        <v>7</v>
      </c>
      <c r="F40" s="7" t="s">
        <v>15</v>
      </c>
      <c r="G40" s="7" t="s">
        <v>627</v>
      </c>
    </row>
    <row r="41" spans="1:7" ht="19" x14ac:dyDescent="0.25">
      <c r="A41" s="7"/>
      <c r="B41" s="7" t="s">
        <v>628</v>
      </c>
      <c r="C41" s="7" t="s">
        <v>357</v>
      </c>
      <c r="D41" s="7">
        <v>0.05</v>
      </c>
      <c r="E41" s="7" t="s">
        <v>7</v>
      </c>
      <c r="F41" s="7" t="s">
        <v>15</v>
      </c>
      <c r="G41" s="7" t="s">
        <v>629</v>
      </c>
    </row>
    <row r="42" spans="1:7" ht="19" x14ac:dyDescent="0.25">
      <c r="A42" s="7"/>
      <c r="B42" s="7" t="s">
        <v>630</v>
      </c>
      <c r="C42" s="7" t="s">
        <v>357</v>
      </c>
      <c r="D42" s="7">
        <v>5.1999999999999998E-2</v>
      </c>
      <c r="E42" s="7" t="s">
        <v>7</v>
      </c>
      <c r="F42" s="7" t="s">
        <v>15</v>
      </c>
      <c r="G42" s="7" t="s">
        <v>631</v>
      </c>
    </row>
    <row r="43" spans="1:7" ht="19" x14ac:dyDescent="0.25">
      <c r="A43" s="7"/>
      <c r="B43" s="7" t="s">
        <v>632</v>
      </c>
      <c r="C43" s="7" t="s">
        <v>357</v>
      </c>
      <c r="D43" s="7">
        <v>0</v>
      </c>
      <c r="E43" s="7" t="s">
        <v>7</v>
      </c>
      <c r="F43" s="7" t="s">
        <v>287</v>
      </c>
      <c r="G43" s="7" t="s">
        <v>633</v>
      </c>
    </row>
    <row r="44" spans="1:7" ht="19" x14ac:dyDescent="0.25">
      <c r="A44" s="7"/>
      <c r="B44" s="7" t="s">
        <v>711</v>
      </c>
      <c r="C44" s="7" t="s">
        <v>357</v>
      </c>
      <c r="D44" s="7">
        <v>1.3580000000000001</v>
      </c>
      <c r="E44" s="7" t="s">
        <v>7</v>
      </c>
      <c r="F44" s="7" t="s">
        <v>15</v>
      </c>
      <c r="G44" s="7" t="s">
        <v>712</v>
      </c>
    </row>
    <row r="45" spans="1:7" ht="19" x14ac:dyDescent="0.25">
      <c r="A45" s="7"/>
      <c r="B45" s="7" t="s">
        <v>634</v>
      </c>
      <c r="C45" s="7" t="s">
        <v>357</v>
      </c>
      <c r="D45" s="7">
        <v>0</v>
      </c>
      <c r="E45" s="7" t="s">
        <v>7</v>
      </c>
      <c r="F45" s="7" t="s">
        <v>287</v>
      </c>
      <c r="G45" s="7" t="s">
        <v>635</v>
      </c>
    </row>
    <row r="46" spans="1:7" ht="19" x14ac:dyDescent="0.25">
      <c r="A46" s="7"/>
      <c r="B46" s="7" t="s">
        <v>636</v>
      </c>
      <c r="C46" s="7" t="s">
        <v>357</v>
      </c>
      <c r="D46" s="7">
        <v>0</v>
      </c>
      <c r="E46" s="7" t="s">
        <v>7</v>
      </c>
      <c r="F46" s="7" t="s">
        <v>287</v>
      </c>
      <c r="G46" s="7" t="s">
        <v>637</v>
      </c>
    </row>
    <row r="47" spans="1:7" ht="19" x14ac:dyDescent="0.25">
      <c r="A47" s="7"/>
      <c r="B47" s="7" t="s">
        <v>378</v>
      </c>
      <c r="C47" s="7" t="s">
        <v>357</v>
      </c>
      <c r="D47" s="7">
        <v>0.29399999999999998</v>
      </c>
      <c r="E47" s="7" t="s">
        <v>7</v>
      </c>
      <c r="F47" s="7" t="s">
        <v>19</v>
      </c>
      <c r="G47" s="7" t="s">
        <v>379</v>
      </c>
    </row>
    <row r="48" spans="1:7" ht="19" x14ac:dyDescent="0.25">
      <c r="A48" s="7"/>
      <c r="B48" s="7" t="s">
        <v>638</v>
      </c>
      <c r="C48" s="7" t="s">
        <v>357</v>
      </c>
      <c r="D48" s="7">
        <v>0</v>
      </c>
      <c r="E48" s="7" t="s">
        <v>7</v>
      </c>
      <c r="F48" s="7" t="s">
        <v>287</v>
      </c>
      <c r="G48" s="7" t="s">
        <v>639</v>
      </c>
    </row>
    <row r="49" spans="1:7" ht="19" x14ac:dyDescent="0.25">
      <c r="A49" s="7"/>
      <c r="B49" s="7" t="s">
        <v>640</v>
      </c>
      <c r="C49" s="7" t="s">
        <v>357</v>
      </c>
      <c r="D49" s="7">
        <v>0</v>
      </c>
      <c r="E49" s="7" t="s">
        <v>7</v>
      </c>
      <c r="F49" s="7" t="s">
        <v>287</v>
      </c>
      <c r="G49" s="7" t="s">
        <v>641</v>
      </c>
    </row>
    <row r="50" spans="1:7" ht="19" x14ac:dyDescent="0.25">
      <c r="A50" s="7"/>
      <c r="B50" s="7" t="s">
        <v>642</v>
      </c>
      <c r="C50" s="7" t="s">
        <v>357</v>
      </c>
      <c r="D50" s="7">
        <v>0</v>
      </c>
      <c r="E50" s="7" t="s">
        <v>7</v>
      </c>
      <c r="F50" s="7" t="s">
        <v>287</v>
      </c>
      <c r="G50" s="7" t="s">
        <v>643</v>
      </c>
    </row>
    <row r="51" spans="1:7" ht="19" x14ac:dyDescent="0.25">
      <c r="A51" s="7"/>
      <c r="B51" s="7" t="s">
        <v>644</v>
      </c>
      <c r="C51" s="7" t="s">
        <v>357</v>
      </c>
      <c r="D51" s="7">
        <v>0</v>
      </c>
      <c r="E51" s="7" t="s">
        <v>7</v>
      </c>
      <c r="F51" s="7" t="s">
        <v>287</v>
      </c>
      <c r="G51" s="7" t="s">
        <v>645</v>
      </c>
    </row>
    <row r="52" spans="1:7" ht="19" x14ac:dyDescent="0.25">
      <c r="A52" s="7"/>
      <c r="B52" s="7" t="s">
        <v>646</v>
      </c>
      <c r="C52" s="7" t="s">
        <v>357</v>
      </c>
      <c r="D52" s="7">
        <v>0</v>
      </c>
      <c r="E52" s="7" t="s">
        <v>7</v>
      </c>
      <c r="F52" s="7" t="s">
        <v>287</v>
      </c>
      <c r="G52" s="7" t="s">
        <v>647</v>
      </c>
    </row>
    <row r="53" spans="1:7" ht="19" x14ac:dyDescent="0.25">
      <c r="A53" s="7"/>
      <c r="B53" s="7" t="s">
        <v>648</v>
      </c>
      <c r="C53" s="7" t="s">
        <v>357</v>
      </c>
      <c r="D53" s="7">
        <v>0</v>
      </c>
      <c r="E53" s="7" t="s">
        <v>7</v>
      </c>
      <c r="F53" s="7" t="s">
        <v>287</v>
      </c>
      <c r="G53" s="7" t="s">
        <v>649</v>
      </c>
    </row>
    <row r="54" spans="1:7" ht="19" x14ac:dyDescent="0.25">
      <c r="A54" s="7"/>
      <c r="B54" s="7" t="s">
        <v>650</v>
      </c>
      <c r="C54" s="7" t="s">
        <v>357</v>
      </c>
      <c r="D54" s="7">
        <v>0</v>
      </c>
      <c r="E54" s="7" t="s">
        <v>7</v>
      </c>
      <c r="F54" s="7" t="s">
        <v>287</v>
      </c>
      <c r="G54" s="7" t="s">
        <v>651</v>
      </c>
    </row>
    <row r="55" spans="1:7" ht="19" x14ac:dyDescent="0.25">
      <c r="A55" s="7"/>
      <c r="B55" s="7" t="s">
        <v>652</v>
      </c>
      <c r="C55" s="7" t="s">
        <v>357</v>
      </c>
      <c r="D55" s="7">
        <v>0</v>
      </c>
      <c r="E55" s="7" t="s">
        <v>7</v>
      </c>
      <c r="F55" s="7" t="s">
        <v>287</v>
      </c>
      <c r="G55" s="7" t="s">
        <v>653</v>
      </c>
    </row>
    <row r="56" spans="1:7" ht="19" x14ac:dyDescent="0.25">
      <c r="A56" s="7"/>
      <c r="B56" s="7" t="s">
        <v>654</v>
      </c>
      <c r="C56" s="7" t="s">
        <v>357</v>
      </c>
      <c r="D56" s="7">
        <v>0</v>
      </c>
      <c r="E56" s="7" t="s">
        <v>7</v>
      </c>
      <c r="F56" s="7" t="s">
        <v>287</v>
      </c>
      <c r="G56" s="7" t="s">
        <v>655</v>
      </c>
    </row>
    <row r="57" spans="1:7" ht="19" x14ac:dyDescent="0.25">
      <c r="A57" s="7"/>
      <c r="B57" s="7" t="s">
        <v>656</v>
      </c>
      <c r="C57" s="7" t="s">
        <v>357</v>
      </c>
      <c r="D57" s="7">
        <v>0</v>
      </c>
      <c r="E57" s="7" t="s">
        <v>7</v>
      </c>
      <c r="F57" s="7" t="s">
        <v>287</v>
      </c>
      <c r="G57" s="7" t="s">
        <v>657</v>
      </c>
    </row>
    <row r="58" spans="1:7" ht="19" x14ac:dyDescent="0.25">
      <c r="A58" s="7"/>
      <c r="B58" s="7" t="s">
        <v>380</v>
      </c>
      <c r="C58" s="7" t="s">
        <v>357</v>
      </c>
      <c r="D58" s="7">
        <v>1.9219999999999999</v>
      </c>
      <c r="E58" s="7" t="s">
        <v>7</v>
      </c>
      <c r="F58" s="7" t="s">
        <v>19</v>
      </c>
      <c r="G58" s="7" t="s">
        <v>381</v>
      </c>
    </row>
    <row r="59" spans="1:7" ht="19" x14ac:dyDescent="0.25">
      <c r="A59" s="7"/>
      <c r="B59" s="7" t="s">
        <v>658</v>
      </c>
      <c r="C59" s="7" t="s">
        <v>357</v>
      </c>
      <c r="D59" s="7">
        <v>0</v>
      </c>
      <c r="E59" s="7" t="s">
        <v>7</v>
      </c>
      <c r="F59" s="7" t="s">
        <v>287</v>
      </c>
      <c r="G59" s="7" t="s">
        <v>659</v>
      </c>
    </row>
    <row r="60" spans="1:7" ht="19" x14ac:dyDescent="0.25">
      <c r="A60" s="7"/>
      <c r="B60" s="7" t="s">
        <v>660</v>
      </c>
      <c r="C60" s="7" t="s">
        <v>357</v>
      </c>
      <c r="D60" s="7">
        <v>1.698</v>
      </c>
      <c r="E60" s="7" t="s">
        <v>7</v>
      </c>
      <c r="F60" s="7" t="s">
        <v>287</v>
      </c>
      <c r="G60" s="7" t="s">
        <v>661</v>
      </c>
    </row>
    <row r="61" spans="1:7" ht="19" x14ac:dyDescent="0.25">
      <c r="A61" s="7" t="s">
        <v>382</v>
      </c>
      <c r="B61" s="7" t="s">
        <v>383</v>
      </c>
      <c r="C61" s="24" t="s">
        <v>384</v>
      </c>
      <c r="D61" s="7">
        <v>1.81</v>
      </c>
      <c r="E61" s="7" t="s">
        <v>14</v>
      </c>
      <c r="F61" s="7" t="s">
        <v>17</v>
      </c>
      <c r="G61" s="7" t="s">
        <v>385</v>
      </c>
    </row>
    <row r="62" spans="1:7" ht="19" x14ac:dyDescent="0.25">
      <c r="A62" s="7"/>
      <c r="B62" s="7" t="s">
        <v>386</v>
      </c>
      <c r="C62" s="7" t="s">
        <v>384</v>
      </c>
      <c r="D62" s="7">
        <v>5.29</v>
      </c>
      <c r="E62" s="7" t="s">
        <v>14</v>
      </c>
      <c r="F62" s="7" t="s">
        <v>17</v>
      </c>
      <c r="G62" s="7" t="s">
        <v>387</v>
      </c>
    </row>
    <row r="63" spans="1:7" ht="19" x14ac:dyDescent="0.25">
      <c r="A63" s="7"/>
      <c r="B63" s="7" t="s">
        <v>388</v>
      </c>
      <c r="C63" s="7" t="s">
        <v>384</v>
      </c>
      <c r="D63" s="7">
        <v>11.91</v>
      </c>
      <c r="E63" s="7" t="s">
        <v>14</v>
      </c>
      <c r="F63" s="7" t="s">
        <v>17</v>
      </c>
      <c r="G63" s="7" t="s">
        <v>389</v>
      </c>
    </row>
    <row r="64" spans="1:7" ht="19" x14ac:dyDescent="0.25">
      <c r="A64" s="7" t="s">
        <v>390</v>
      </c>
      <c r="B64" s="7" t="s">
        <v>391</v>
      </c>
      <c r="C64" s="24" t="s">
        <v>392</v>
      </c>
      <c r="D64" s="7">
        <v>0.38</v>
      </c>
      <c r="E64" s="7" t="s">
        <v>14</v>
      </c>
      <c r="F64" s="7" t="s">
        <v>17</v>
      </c>
      <c r="G64" s="7" t="s">
        <v>393</v>
      </c>
    </row>
    <row r="65" spans="1:7" ht="19" x14ac:dyDescent="0.25">
      <c r="A65" s="7"/>
      <c r="B65" s="7" t="s">
        <v>394</v>
      </c>
      <c r="C65" s="24" t="s">
        <v>395</v>
      </c>
      <c r="D65" s="7">
        <v>1.0900000000000001</v>
      </c>
      <c r="E65" s="7" t="s">
        <v>14</v>
      </c>
      <c r="F65" s="7" t="s">
        <v>17</v>
      </c>
      <c r="G65" s="7" t="s">
        <v>396</v>
      </c>
    </row>
    <row r="66" spans="1:7" ht="19" x14ac:dyDescent="0.25">
      <c r="A66" s="7"/>
      <c r="B66" s="7" t="s">
        <v>397</v>
      </c>
      <c r="C66" s="24" t="s">
        <v>392</v>
      </c>
      <c r="D66" s="7">
        <v>0.38</v>
      </c>
      <c r="E66" s="7" t="s">
        <v>14</v>
      </c>
      <c r="F66" s="7" t="s">
        <v>17</v>
      </c>
      <c r="G66" s="7" t="s">
        <v>398</v>
      </c>
    </row>
    <row r="67" spans="1:7" ht="19" x14ac:dyDescent="0.25">
      <c r="A67" s="7"/>
      <c r="B67" s="7" t="s">
        <v>399</v>
      </c>
      <c r="C67" s="24" t="s">
        <v>395</v>
      </c>
      <c r="D67" s="7">
        <v>1.07</v>
      </c>
      <c r="E67" s="7" t="s">
        <v>14</v>
      </c>
      <c r="F67" s="7" t="s">
        <v>17</v>
      </c>
      <c r="G67" s="7" t="s">
        <v>400</v>
      </c>
    </row>
    <row r="68" spans="1:7" ht="19" x14ac:dyDescent="0.25">
      <c r="A68" s="7"/>
      <c r="B68" s="7" t="s">
        <v>401</v>
      </c>
      <c r="C68" s="7" t="s">
        <v>392</v>
      </c>
      <c r="D68" s="7">
        <v>0.56000000000000005</v>
      </c>
      <c r="E68" s="7" t="s">
        <v>14</v>
      </c>
      <c r="F68" s="7" t="s">
        <v>17</v>
      </c>
      <c r="G68" s="7" t="s">
        <v>402</v>
      </c>
    </row>
    <row r="69" spans="1:7" ht="19" x14ac:dyDescent="0.25">
      <c r="A69" s="7"/>
      <c r="B69" s="7" t="s">
        <v>403</v>
      </c>
      <c r="C69" s="7" t="s">
        <v>395</v>
      </c>
      <c r="D69" s="7">
        <v>1.29</v>
      </c>
      <c r="E69" s="7" t="s">
        <v>14</v>
      </c>
      <c r="F69" s="7" t="s">
        <v>17</v>
      </c>
      <c r="G69" s="7" t="s">
        <v>404</v>
      </c>
    </row>
    <row r="70" spans="1:7" ht="19" x14ac:dyDescent="0.25">
      <c r="A70" s="7" t="s">
        <v>405</v>
      </c>
      <c r="B70" s="7" t="s">
        <v>406</v>
      </c>
      <c r="C70" s="24" t="s">
        <v>395</v>
      </c>
      <c r="D70" s="7">
        <v>10.029999999999999</v>
      </c>
      <c r="E70" s="7" t="s">
        <v>14</v>
      </c>
      <c r="F70" s="7" t="s">
        <v>17</v>
      </c>
      <c r="G70" s="7" t="s">
        <v>407</v>
      </c>
    </row>
    <row r="71" spans="1:7" ht="19" x14ac:dyDescent="0.25">
      <c r="A71" s="7"/>
      <c r="B71" s="7" t="s">
        <v>408</v>
      </c>
      <c r="C71" s="24" t="s">
        <v>357</v>
      </c>
      <c r="D71" s="7">
        <v>0</v>
      </c>
      <c r="E71" s="7" t="s">
        <v>14</v>
      </c>
      <c r="F71" s="7" t="s">
        <v>17</v>
      </c>
      <c r="G71" s="7" t="s">
        <v>409</v>
      </c>
    </row>
    <row r="72" spans="1:7" ht="19" x14ac:dyDescent="0.25">
      <c r="A72" s="7"/>
      <c r="B72" s="7" t="s">
        <v>410</v>
      </c>
      <c r="C72" s="24" t="s">
        <v>23</v>
      </c>
      <c r="D72" s="7">
        <v>0.9</v>
      </c>
      <c r="E72" s="7" t="s">
        <v>14</v>
      </c>
      <c r="F72" s="7" t="s">
        <v>19</v>
      </c>
      <c r="G72" s="7" t="s">
        <v>411</v>
      </c>
    </row>
    <row r="73" spans="1:7" ht="19" x14ac:dyDescent="0.25">
      <c r="A73" s="7"/>
      <c r="B73" s="7" t="s">
        <v>412</v>
      </c>
      <c r="C73" s="7" t="s">
        <v>23</v>
      </c>
      <c r="D73" s="7">
        <v>0.87</v>
      </c>
      <c r="E73" s="7" t="s">
        <v>14</v>
      </c>
      <c r="F73" s="7" t="s">
        <v>19</v>
      </c>
      <c r="G73" s="7" t="s">
        <v>413</v>
      </c>
    </row>
    <row r="74" spans="1:7" ht="19" x14ac:dyDescent="0.25">
      <c r="A74" s="7"/>
      <c r="B74" s="7" t="s">
        <v>414</v>
      </c>
      <c r="C74" s="24" t="s">
        <v>384</v>
      </c>
      <c r="D74" s="7">
        <v>3.52</v>
      </c>
      <c r="E74" s="7" t="s">
        <v>14</v>
      </c>
      <c r="F74" s="7" t="s">
        <v>17</v>
      </c>
      <c r="G74" s="7" t="s">
        <v>415</v>
      </c>
    </row>
    <row r="75" spans="1:7" ht="19" x14ac:dyDescent="0.25">
      <c r="A75" s="7" t="s">
        <v>416</v>
      </c>
      <c r="B75" s="7" t="s">
        <v>417</v>
      </c>
      <c r="C75" s="24" t="s">
        <v>418</v>
      </c>
      <c r="D75" s="7">
        <v>3.62</v>
      </c>
      <c r="E75" s="7" t="s">
        <v>14</v>
      </c>
      <c r="F75" s="7" t="s">
        <v>19</v>
      </c>
      <c r="G75" s="7" t="s">
        <v>419</v>
      </c>
    </row>
    <row r="76" spans="1:7" ht="19" x14ac:dyDescent="0.25">
      <c r="A76" s="7"/>
      <c r="B76" s="7" t="s">
        <v>420</v>
      </c>
      <c r="C76" s="24" t="s">
        <v>16</v>
      </c>
      <c r="D76" s="7">
        <v>1.92</v>
      </c>
      <c r="E76" s="7" t="s">
        <v>14</v>
      </c>
      <c r="F76" s="7" t="s">
        <v>17</v>
      </c>
      <c r="G76" s="7" t="s">
        <v>421</v>
      </c>
    </row>
    <row r="77" spans="1:7" ht="19" x14ac:dyDescent="0.25">
      <c r="A77" s="7"/>
      <c r="B77" s="7" t="s">
        <v>422</v>
      </c>
      <c r="C77" s="24" t="s">
        <v>423</v>
      </c>
      <c r="D77" s="7">
        <v>4.71</v>
      </c>
      <c r="E77" s="7" t="s">
        <v>14</v>
      </c>
      <c r="F77" s="7" t="s">
        <v>19</v>
      </c>
      <c r="G77" s="7" t="s">
        <v>424</v>
      </c>
    </row>
    <row r="78" spans="1:7" ht="19" x14ac:dyDescent="0.25">
      <c r="A78" s="7"/>
      <c r="B78" s="7" t="s">
        <v>425</v>
      </c>
      <c r="C78" s="24" t="s">
        <v>426</v>
      </c>
      <c r="D78" s="7">
        <v>2.52</v>
      </c>
      <c r="E78" s="7" t="s">
        <v>14</v>
      </c>
      <c r="F78" s="7" t="s">
        <v>17</v>
      </c>
      <c r="G78" s="7" t="s">
        <v>427</v>
      </c>
    </row>
    <row r="79" spans="1:7" ht="19" x14ac:dyDescent="0.25">
      <c r="A79" s="7"/>
      <c r="B79" s="7" t="s">
        <v>428</v>
      </c>
      <c r="C79" s="24" t="s">
        <v>429</v>
      </c>
      <c r="D79" s="7">
        <v>0.12</v>
      </c>
      <c r="E79" s="7" t="s">
        <v>14</v>
      </c>
      <c r="F79" s="7" t="s">
        <v>17</v>
      </c>
      <c r="G79" s="7" t="s">
        <v>430</v>
      </c>
    </row>
    <row r="80" spans="1:7" ht="19" x14ac:dyDescent="0.25">
      <c r="A80" s="7"/>
      <c r="B80" s="7" t="s">
        <v>431</v>
      </c>
      <c r="C80" s="24" t="s">
        <v>16</v>
      </c>
      <c r="D80" s="7">
        <v>2.52</v>
      </c>
      <c r="E80" s="7" t="s">
        <v>14</v>
      </c>
      <c r="F80" s="7" t="s">
        <v>19</v>
      </c>
      <c r="G80" s="7" t="s">
        <v>432</v>
      </c>
    </row>
    <row r="81" spans="1:7" ht="19" x14ac:dyDescent="0.25">
      <c r="A81" s="7"/>
      <c r="B81" s="7" t="s">
        <v>433</v>
      </c>
      <c r="C81" s="7" t="s">
        <v>16</v>
      </c>
      <c r="D81" s="7">
        <v>2.2799999999999998</v>
      </c>
      <c r="E81" s="7" t="s">
        <v>14</v>
      </c>
      <c r="F81" s="7" t="s">
        <v>19</v>
      </c>
      <c r="G81" s="7" t="s">
        <v>434</v>
      </c>
    </row>
    <row r="82" spans="1:7" ht="19" x14ac:dyDescent="0.25">
      <c r="A82" s="7"/>
      <c r="B82" s="7" t="s">
        <v>435</v>
      </c>
      <c r="C82" s="7" t="s">
        <v>16</v>
      </c>
      <c r="D82" s="7">
        <v>0.51</v>
      </c>
      <c r="E82" s="7" t="s">
        <v>14</v>
      </c>
      <c r="F82" s="7" t="s">
        <v>19</v>
      </c>
      <c r="G82" s="7" t="s">
        <v>436</v>
      </c>
    </row>
    <row r="83" spans="1:7" ht="19" x14ac:dyDescent="0.25">
      <c r="A83" s="7" t="s">
        <v>437</v>
      </c>
      <c r="B83" s="7" t="s">
        <v>437</v>
      </c>
      <c r="C83" s="24" t="s">
        <v>423</v>
      </c>
      <c r="D83" s="7">
        <v>7.5</v>
      </c>
      <c r="E83" s="7" t="s">
        <v>14</v>
      </c>
      <c r="F83" s="7" t="s">
        <v>17</v>
      </c>
      <c r="G83" s="7" t="s">
        <v>438</v>
      </c>
    </row>
    <row r="84" spans="1:7" ht="19" x14ac:dyDescent="0.25">
      <c r="A84" s="7" t="s">
        <v>439</v>
      </c>
      <c r="B84" s="7" t="s">
        <v>440</v>
      </c>
      <c r="C84" s="24" t="s">
        <v>384</v>
      </c>
      <c r="D84" s="7">
        <v>1.92</v>
      </c>
      <c r="E84" s="7" t="s">
        <v>14</v>
      </c>
      <c r="F84" s="7" t="s">
        <v>19</v>
      </c>
      <c r="G84" s="7" t="s">
        <v>441</v>
      </c>
    </row>
    <row r="85" spans="1:7" ht="19" x14ac:dyDescent="0.25">
      <c r="A85" s="7"/>
      <c r="B85" s="7" t="s">
        <v>442</v>
      </c>
      <c r="C85" s="7" t="s">
        <v>384</v>
      </c>
      <c r="D85" s="7">
        <v>0.48</v>
      </c>
      <c r="E85" s="7" t="s">
        <v>14</v>
      </c>
      <c r="F85" s="7" t="s">
        <v>17</v>
      </c>
      <c r="G85" s="7" t="s">
        <v>443</v>
      </c>
    </row>
    <row r="86" spans="1:7" ht="19" x14ac:dyDescent="0.25">
      <c r="A86" s="7"/>
      <c r="B86" s="7" t="s">
        <v>444</v>
      </c>
      <c r="C86" s="7" t="s">
        <v>384</v>
      </c>
      <c r="D86" s="7">
        <v>0.18</v>
      </c>
      <c r="E86" s="7" t="s">
        <v>14</v>
      </c>
      <c r="F86" s="7" t="s">
        <v>19</v>
      </c>
      <c r="G86" s="7" t="s">
        <v>445</v>
      </c>
    </row>
    <row r="87" spans="1:7" ht="19" x14ac:dyDescent="0.25">
      <c r="A87" s="7"/>
      <c r="B87" s="7" t="s">
        <v>446</v>
      </c>
      <c r="C87" s="7" t="s">
        <v>384</v>
      </c>
      <c r="D87" s="7">
        <v>0.11</v>
      </c>
      <c r="E87" s="7" t="s">
        <v>14</v>
      </c>
      <c r="F87" s="7" t="s">
        <v>19</v>
      </c>
      <c r="G87" s="7" t="s">
        <v>447</v>
      </c>
    </row>
    <row r="88" spans="1:7" ht="19" x14ac:dyDescent="0.25">
      <c r="A88" s="7"/>
      <c r="B88" s="7" t="s">
        <v>448</v>
      </c>
      <c r="C88" s="7" t="s">
        <v>384</v>
      </c>
      <c r="D88" s="7">
        <v>3.12</v>
      </c>
      <c r="E88" s="7" t="s">
        <v>14</v>
      </c>
      <c r="F88" s="7" t="s">
        <v>19</v>
      </c>
      <c r="G88" s="7" t="s">
        <v>449</v>
      </c>
    </row>
    <row r="89" spans="1:7" ht="19" x14ac:dyDescent="0.25">
      <c r="A89" s="7"/>
      <c r="B89" s="7" t="s">
        <v>450</v>
      </c>
      <c r="C89" s="7" t="s">
        <v>384</v>
      </c>
      <c r="D89" s="7">
        <v>2.56</v>
      </c>
      <c r="E89" s="7" t="s">
        <v>14</v>
      </c>
      <c r="F89" s="7" t="s">
        <v>19</v>
      </c>
      <c r="G89" s="7" t="s">
        <v>451</v>
      </c>
    </row>
    <row r="90" spans="1:7" ht="19" x14ac:dyDescent="0.25">
      <c r="A90" s="7"/>
      <c r="B90" s="7" t="s">
        <v>452</v>
      </c>
      <c r="C90" s="7" t="s">
        <v>384</v>
      </c>
      <c r="D90" s="7">
        <v>0.16</v>
      </c>
      <c r="E90" s="7" t="s">
        <v>14</v>
      </c>
      <c r="F90" s="7" t="s">
        <v>17</v>
      </c>
      <c r="G90" s="7" t="s">
        <v>453</v>
      </c>
    </row>
    <row r="91" spans="1:7" ht="19" x14ac:dyDescent="0.25">
      <c r="A91" s="7"/>
      <c r="B91" s="7" t="s">
        <v>454</v>
      </c>
      <c r="C91" s="7" t="s">
        <v>384</v>
      </c>
      <c r="D91" s="7">
        <v>1.1100000000000001</v>
      </c>
      <c r="E91" s="7" t="s">
        <v>14</v>
      </c>
      <c r="F91" s="7" t="s">
        <v>19</v>
      </c>
      <c r="G91" s="7" t="s">
        <v>455</v>
      </c>
    </row>
    <row r="92" spans="1:7" ht="19" x14ac:dyDescent="0.25">
      <c r="A92" s="7"/>
      <c r="B92" s="7" t="s">
        <v>456</v>
      </c>
      <c r="C92" s="7" t="s">
        <v>384</v>
      </c>
      <c r="D92" s="7">
        <v>0.28000000000000003</v>
      </c>
      <c r="E92" s="7" t="s">
        <v>14</v>
      </c>
      <c r="F92" s="7" t="s">
        <v>19</v>
      </c>
      <c r="G92" s="7" t="s">
        <v>457</v>
      </c>
    </row>
    <row r="93" spans="1:7" ht="19" x14ac:dyDescent="0.25">
      <c r="A93" s="7"/>
      <c r="B93" s="7" t="s">
        <v>458</v>
      </c>
      <c r="C93" s="7" t="s">
        <v>384</v>
      </c>
      <c r="D93" s="7">
        <v>0.22</v>
      </c>
      <c r="E93" s="7" t="s">
        <v>14</v>
      </c>
      <c r="F93" s="7" t="s">
        <v>19</v>
      </c>
      <c r="G93" s="7" t="s">
        <v>459</v>
      </c>
    </row>
    <row r="94" spans="1:7" ht="19" x14ac:dyDescent="0.25">
      <c r="A94" s="7"/>
      <c r="B94" s="7" t="s">
        <v>460</v>
      </c>
      <c r="C94" s="7" t="s">
        <v>384</v>
      </c>
      <c r="D94" s="7">
        <v>0.67</v>
      </c>
      <c r="E94" s="7" t="s">
        <v>14</v>
      </c>
      <c r="F94" s="7" t="s">
        <v>287</v>
      </c>
      <c r="G94" s="7" t="s">
        <v>461</v>
      </c>
    </row>
    <row r="95" spans="1:7" ht="19" x14ac:dyDescent="0.25">
      <c r="A95" s="7"/>
      <c r="B95" s="7" t="s">
        <v>462</v>
      </c>
      <c r="C95" s="7" t="s">
        <v>384</v>
      </c>
      <c r="D95" s="7">
        <v>0.38</v>
      </c>
      <c r="E95" s="7" t="s">
        <v>14</v>
      </c>
      <c r="F95" s="7" t="s">
        <v>17</v>
      </c>
      <c r="G95" s="7" t="s">
        <v>463</v>
      </c>
    </row>
    <row r="96" spans="1:7" ht="19" x14ac:dyDescent="0.25">
      <c r="A96" s="7"/>
      <c r="B96" s="7" t="s">
        <v>464</v>
      </c>
      <c r="C96" s="7" t="s">
        <v>384</v>
      </c>
      <c r="D96" s="7">
        <v>0.45</v>
      </c>
      <c r="E96" s="7" t="s">
        <v>14</v>
      </c>
      <c r="F96" s="7" t="s">
        <v>19</v>
      </c>
      <c r="G96" s="7" t="s">
        <v>465</v>
      </c>
    </row>
    <row r="97" spans="1:7" ht="19" x14ac:dyDescent="0.25">
      <c r="A97" s="7"/>
      <c r="B97" s="7" t="s">
        <v>466</v>
      </c>
      <c r="C97" s="7" t="s">
        <v>384</v>
      </c>
      <c r="D97" s="7">
        <v>0</v>
      </c>
      <c r="E97" s="7" t="s">
        <v>14</v>
      </c>
      <c r="F97" s="7" t="s">
        <v>19</v>
      </c>
      <c r="G97" s="7" t="s">
        <v>467</v>
      </c>
    </row>
    <row r="98" spans="1:7" ht="19" x14ac:dyDescent="0.25">
      <c r="A98" s="7" t="s">
        <v>468</v>
      </c>
      <c r="B98" s="7" t="s">
        <v>469</v>
      </c>
      <c r="C98" s="7" t="s">
        <v>23</v>
      </c>
      <c r="D98" s="7">
        <v>1.26</v>
      </c>
      <c r="E98" s="7" t="s">
        <v>14</v>
      </c>
      <c r="F98" s="7" t="s">
        <v>19</v>
      </c>
      <c r="G98" s="7" t="s">
        <v>470</v>
      </c>
    </row>
    <row r="99" spans="1:7" ht="19" x14ac:dyDescent="0.25">
      <c r="A99" s="7"/>
      <c r="B99" s="7" t="s">
        <v>471</v>
      </c>
      <c r="C99" s="7" t="s">
        <v>23</v>
      </c>
      <c r="D99" s="7">
        <v>1.63</v>
      </c>
      <c r="E99" s="7" t="s">
        <v>14</v>
      </c>
      <c r="F99" s="7" t="s">
        <v>19</v>
      </c>
      <c r="G99" s="7" t="s">
        <v>472</v>
      </c>
    </row>
    <row r="100" spans="1:7" ht="19" x14ac:dyDescent="0.25">
      <c r="A100" s="7" t="s">
        <v>473</v>
      </c>
      <c r="B100" s="7" t="s">
        <v>474</v>
      </c>
      <c r="C100" s="24" t="s">
        <v>423</v>
      </c>
      <c r="D100" s="7">
        <v>3.73</v>
      </c>
      <c r="E100" s="7" t="s">
        <v>14</v>
      </c>
      <c r="F100" s="7" t="s">
        <v>19</v>
      </c>
      <c r="G100" s="7" t="s">
        <v>475</v>
      </c>
    </row>
    <row r="101" spans="1:7" ht="19" x14ac:dyDescent="0.25">
      <c r="A101" s="7"/>
      <c r="B101" s="7" t="s">
        <v>476</v>
      </c>
      <c r="C101" s="7" t="s">
        <v>423</v>
      </c>
      <c r="D101" s="7">
        <v>15.47</v>
      </c>
      <c r="E101" s="7" t="s">
        <v>14</v>
      </c>
      <c r="F101" s="7" t="s">
        <v>19</v>
      </c>
      <c r="G101" s="7" t="s">
        <v>477</v>
      </c>
    </row>
    <row r="102" spans="1:7" ht="19" x14ac:dyDescent="0.25">
      <c r="A102" s="7"/>
      <c r="B102" s="7" t="s">
        <v>478</v>
      </c>
      <c r="C102" s="7" t="s">
        <v>23</v>
      </c>
      <c r="D102" s="7">
        <v>3.58</v>
      </c>
      <c r="E102" s="7" t="s">
        <v>14</v>
      </c>
      <c r="F102" s="7" t="s">
        <v>19</v>
      </c>
      <c r="G102" s="7" t="s">
        <v>479</v>
      </c>
    </row>
    <row r="103" spans="1:7" ht="19" x14ac:dyDescent="0.25">
      <c r="A103" s="7"/>
      <c r="B103" s="7" t="s">
        <v>480</v>
      </c>
      <c r="C103" s="7" t="s">
        <v>23</v>
      </c>
      <c r="D103" s="7">
        <v>2.6</v>
      </c>
      <c r="E103" s="7" t="s">
        <v>14</v>
      </c>
      <c r="F103" s="7" t="s">
        <v>17</v>
      </c>
      <c r="G103" s="7" t="s">
        <v>481</v>
      </c>
    </row>
    <row r="104" spans="1:7" ht="19" x14ac:dyDescent="0.25">
      <c r="A104" s="7"/>
      <c r="B104" s="7" t="s">
        <v>482</v>
      </c>
      <c r="C104" s="7" t="s">
        <v>23</v>
      </c>
      <c r="D104" s="7">
        <v>2.15</v>
      </c>
      <c r="E104" s="7" t="s">
        <v>14</v>
      </c>
      <c r="F104" s="7" t="s">
        <v>17</v>
      </c>
      <c r="G104" s="7" t="s">
        <v>483</v>
      </c>
    </row>
    <row r="105" spans="1:7" ht="19" x14ac:dyDescent="0.25">
      <c r="A105" s="7"/>
      <c r="B105" s="7" t="s">
        <v>484</v>
      </c>
      <c r="C105" s="24" t="s">
        <v>485</v>
      </c>
      <c r="D105" s="7">
        <v>3.52</v>
      </c>
      <c r="E105" s="7" t="s">
        <v>14</v>
      </c>
      <c r="F105" s="7" t="s">
        <v>17</v>
      </c>
      <c r="G105" s="7" t="s">
        <v>486</v>
      </c>
    </row>
    <row r="106" spans="1:7" ht="19" x14ac:dyDescent="0.25">
      <c r="A106" s="7"/>
      <c r="B106" s="7" t="s">
        <v>487</v>
      </c>
      <c r="C106" s="24" t="s">
        <v>488</v>
      </c>
      <c r="D106" s="7">
        <v>7.54</v>
      </c>
      <c r="E106" s="7" t="s">
        <v>14</v>
      </c>
      <c r="F106" s="7" t="s">
        <v>19</v>
      </c>
      <c r="G106" s="7" t="s">
        <v>489</v>
      </c>
    </row>
    <row r="107" spans="1:7" ht="19" x14ac:dyDescent="0.25">
      <c r="A107" s="7"/>
      <c r="B107" s="7" t="s">
        <v>490</v>
      </c>
      <c r="C107" s="24" t="s">
        <v>16</v>
      </c>
      <c r="D107" s="7">
        <v>4.7300000000000004</v>
      </c>
      <c r="E107" s="7" t="s">
        <v>14</v>
      </c>
      <c r="F107" s="7" t="s">
        <v>19</v>
      </c>
      <c r="G107" s="7" t="s">
        <v>491</v>
      </c>
    </row>
    <row r="108" spans="1:7" ht="19" x14ac:dyDescent="0.25">
      <c r="A108" s="7"/>
      <c r="B108" s="7" t="s">
        <v>492</v>
      </c>
      <c r="C108" s="7" t="s">
        <v>16</v>
      </c>
      <c r="D108" s="7">
        <v>3.23</v>
      </c>
      <c r="E108" s="7" t="s">
        <v>14</v>
      </c>
      <c r="F108" s="7" t="s">
        <v>19</v>
      </c>
      <c r="G108" s="7" t="s">
        <v>493</v>
      </c>
    </row>
    <row r="109" spans="1:7" ht="19" x14ac:dyDescent="0.25">
      <c r="A109" s="7"/>
      <c r="B109" s="7" t="s">
        <v>494</v>
      </c>
      <c r="C109" s="24" t="s">
        <v>23</v>
      </c>
      <c r="D109" s="7">
        <v>0.87</v>
      </c>
      <c r="E109" s="7" t="s">
        <v>14</v>
      </c>
      <c r="F109" s="7" t="s">
        <v>19</v>
      </c>
      <c r="G109" s="7" t="s">
        <v>495</v>
      </c>
    </row>
    <row r="110" spans="1:7" ht="19" x14ac:dyDescent="0.25">
      <c r="A110" s="7"/>
      <c r="B110" s="7" t="s">
        <v>496</v>
      </c>
      <c r="C110" s="7" t="s">
        <v>23</v>
      </c>
      <c r="D110" s="7">
        <v>2.5299999999999998</v>
      </c>
      <c r="E110" s="7" t="s">
        <v>14</v>
      </c>
      <c r="F110" s="7" t="s">
        <v>19</v>
      </c>
      <c r="G110" s="7" t="s">
        <v>497</v>
      </c>
    </row>
    <row r="111" spans="1:7" ht="19" x14ac:dyDescent="0.25">
      <c r="A111" s="7" t="s">
        <v>498</v>
      </c>
      <c r="B111" s="7" t="s">
        <v>499</v>
      </c>
      <c r="C111" s="7" t="s">
        <v>23</v>
      </c>
      <c r="D111" s="7">
        <v>1.04</v>
      </c>
      <c r="E111" s="7" t="s">
        <v>14</v>
      </c>
      <c r="F111" s="7" t="s">
        <v>17</v>
      </c>
      <c r="G111" s="7" t="s">
        <v>500</v>
      </c>
    </row>
    <row r="112" spans="1:7" ht="19" x14ac:dyDescent="0.25">
      <c r="A112" s="7"/>
      <c r="B112" s="7" t="s">
        <v>501</v>
      </c>
      <c r="C112" s="7" t="s">
        <v>23</v>
      </c>
      <c r="D112" s="7">
        <v>0.64</v>
      </c>
      <c r="E112" s="7" t="s">
        <v>14</v>
      </c>
      <c r="F112" s="7" t="s">
        <v>17</v>
      </c>
      <c r="G112" s="7" t="s">
        <v>502</v>
      </c>
    </row>
    <row r="113" spans="1:7" ht="19" x14ac:dyDescent="0.25">
      <c r="A113" s="7" t="s">
        <v>503</v>
      </c>
      <c r="B113" s="7" t="s">
        <v>504</v>
      </c>
      <c r="C113" s="7" t="s">
        <v>357</v>
      </c>
      <c r="D113" s="7">
        <v>2.4700000000000002</v>
      </c>
      <c r="E113" s="7" t="s">
        <v>14</v>
      </c>
      <c r="F113" s="7" t="s">
        <v>19</v>
      </c>
      <c r="G113" s="7" t="s">
        <v>505</v>
      </c>
    </row>
    <row r="114" spans="1:7" ht="19" x14ac:dyDescent="0.25">
      <c r="A114" s="7"/>
      <c r="B114" s="7" t="s">
        <v>506</v>
      </c>
      <c r="C114" s="7" t="s">
        <v>357</v>
      </c>
      <c r="D114" s="7">
        <v>1.23</v>
      </c>
      <c r="E114" s="7" t="s">
        <v>14</v>
      </c>
      <c r="F114" s="7" t="s">
        <v>19</v>
      </c>
      <c r="G114" s="7" t="s">
        <v>507</v>
      </c>
    </row>
    <row r="115" spans="1:7" ht="19" x14ac:dyDescent="0.25">
      <c r="A115" s="7"/>
      <c r="B115" s="7" t="s">
        <v>508</v>
      </c>
      <c r="C115" s="7" t="s">
        <v>357</v>
      </c>
      <c r="D115" s="7">
        <v>3.72</v>
      </c>
      <c r="E115" s="7" t="s">
        <v>14</v>
      </c>
      <c r="F115" s="7" t="s">
        <v>17</v>
      </c>
      <c r="G115" s="7" t="s">
        <v>509</v>
      </c>
    </row>
    <row r="116" spans="1:7" ht="19" x14ac:dyDescent="0.25">
      <c r="A116" s="7"/>
      <c r="B116" s="7" t="s">
        <v>510</v>
      </c>
      <c r="C116" s="7" t="s">
        <v>357</v>
      </c>
      <c r="D116" s="7">
        <v>1.98</v>
      </c>
      <c r="E116" s="7" t="s">
        <v>14</v>
      </c>
      <c r="F116" s="7" t="s">
        <v>17</v>
      </c>
      <c r="G116" s="7" t="s">
        <v>511</v>
      </c>
    </row>
    <row r="117" spans="1:7" ht="19" x14ac:dyDescent="0.25">
      <c r="A117" s="7"/>
      <c r="B117" s="7" t="s">
        <v>512</v>
      </c>
      <c r="C117" s="7" t="s">
        <v>357</v>
      </c>
      <c r="D117" s="7">
        <v>5.95</v>
      </c>
      <c r="E117" s="7" t="s">
        <v>14</v>
      </c>
      <c r="F117" s="7" t="s">
        <v>19</v>
      </c>
      <c r="G117" s="7" t="s">
        <v>513</v>
      </c>
    </row>
    <row r="118" spans="1:7" ht="19" x14ac:dyDescent="0.25">
      <c r="A118" s="7"/>
      <c r="B118" s="7" t="s">
        <v>514</v>
      </c>
      <c r="C118" s="7" t="s">
        <v>357</v>
      </c>
      <c r="D118" s="7">
        <v>4.09</v>
      </c>
      <c r="E118" s="7" t="s">
        <v>14</v>
      </c>
      <c r="F118" s="7" t="s">
        <v>19</v>
      </c>
      <c r="G118" s="7" t="s">
        <v>515</v>
      </c>
    </row>
    <row r="119" spans="1:7" ht="19" x14ac:dyDescent="0.25">
      <c r="A119" s="7"/>
      <c r="B119" s="7" t="s">
        <v>516</v>
      </c>
      <c r="C119" s="7" t="s">
        <v>23</v>
      </c>
      <c r="D119" s="7">
        <v>2.4700000000000002</v>
      </c>
      <c r="E119" s="7" t="s">
        <v>14</v>
      </c>
      <c r="F119" s="7" t="s">
        <v>19</v>
      </c>
      <c r="G119" s="7" t="s">
        <v>517</v>
      </c>
    </row>
    <row r="120" spans="1:7" ht="19" x14ac:dyDescent="0.25">
      <c r="A120" s="7"/>
      <c r="B120" s="7" t="s">
        <v>518</v>
      </c>
      <c r="C120" s="7" t="s">
        <v>357</v>
      </c>
      <c r="D120" s="7">
        <v>4.21</v>
      </c>
      <c r="E120" s="7" t="s">
        <v>14</v>
      </c>
      <c r="F120" s="7" t="s">
        <v>19</v>
      </c>
      <c r="G120" s="7" t="s">
        <v>519</v>
      </c>
    </row>
    <row r="121" spans="1:7" ht="19" x14ac:dyDescent="0.25">
      <c r="A121" s="7"/>
      <c r="B121" s="7" t="s">
        <v>520</v>
      </c>
      <c r="C121" s="7" t="s">
        <v>357</v>
      </c>
      <c r="D121" s="7">
        <v>2.1</v>
      </c>
      <c r="E121" s="7" t="s">
        <v>14</v>
      </c>
      <c r="F121" s="7" t="s">
        <v>19</v>
      </c>
      <c r="G121" s="7" t="s">
        <v>521</v>
      </c>
    </row>
    <row r="122" spans="1:7" ht="19" x14ac:dyDescent="0.25">
      <c r="A122" s="7"/>
      <c r="B122" s="7" t="s">
        <v>522</v>
      </c>
      <c r="C122" s="7" t="s">
        <v>357</v>
      </c>
      <c r="D122" s="7">
        <v>2.85</v>
      </c>
      <c r="E122" s="7" t="s">
        <v>14</v>
      </c>
      <c r="F122" s="7" t="s">
        <v>19</v>
      </c>
      <c r="G122" s="7" t="s">
        <v>523</v>
      </c>
    </row>
    <row r="123" spans="1:7" ht="19" x14ac:dyDescent="0.25">
      <c r="A123" s="7"/>
      <c r="B123" s="7" t="s">
        <v>524</v>
      </c>
      <c r="C123" s="7" t="s">
        <v>357</v>
      </c>
      <c r="D123" s="7">
        <v>2.4700000000000002</v>
      </c>
      <c r="E123" s="7" t="s">
        <v>14</v>
      </c>
      <c r="F123" s="7" t="s">
        <v>19</v>
      </c>
      <c r="G123" s="7" t="s">
        <v>525</v>
      </c>
    </row>
    <row r="124" spans="1:7" ht="19" x14ac:dyDescent="0.25">
      <c r="A124" s="7"/>
      <c r="B124" s="7" t="s">
        <v>526</v>
      </c>
      <c r="C124" s="7" t="s">
        <v>357</v>
      </c>
      <c r="D124" s="7">
        <v>4.09</v>
      </c>
      <c r="E124" s="7" t="s">
        <v>14</v>
      </c>
      <c r="F124" s="7" t="s">
        <v>19</v>
      </c>
      <c r="G124" s="7" t="s">
        <v>527</v>
      </c>
    </row>
    <row r="125" spans="1:7" ht="19" x14ac:dyDescent="0.25">
      <c r="A125" s="7"/>
      <c r="B125" s="7" t="s">
        <v>528</v>
      </c>
      <c r="C125" s="7" t="s">
        <v>357</v>
      </c>
      <c r="D125" s="7">
        <v>1.73</v>
      </c>
      <c r="E125" s="7" t="s">
        <v>14</v>
      </c>
      <c r="F125" s="7" t="s">
        <v>19</v>
      </c>
      <c r="G125" s="7" t="s">
        <v>529</v>
      </c>
    </row>
    <row r="126" spans="1:7" ht="19" x14ac:dyDescent="0.25">
      <c r="A126" s="7"/>
      <c r="B126" s="7" t="s">
        <v>530</v>
      </c>
      <c r="C126" s="7" t="s">
        <v>357</v>
      </c>
      <c r="D126" s="7">
        <v>2.85</v>
      </c>
      <c r="E126" s="7" t="s">
        <v>14</v>
      </c>
      <c r="F126" s="7" t="s">
        <v>19</v>
      </c>
      <c r="G126" s="7" t="s">
        <v>531</v>
      </c>
    </row>
    <row r="127" spans="1:7" ht="19" x14ac:dyDescent="0.25">
      <c r="A127" s="7"/>
      <c r="B127" s="7" t="s">
        <v>532</v>
      </c>
      <c r="C127" s="24" t="s">
        <v>384</v>
      </c>
      <c r="D127" s="7">
        <v>1.18</v>
      </c>
      <c r="E127" s="7" t="s">
        <v>14</v>
      </c>
      <c r="F127" s="7" t="s">
        <v>19</v>
      </c>
      <c r="G127" s="7" t="s">
        <v>533</v>
      </c>
    </row>
    <row r="128" spans="1:7" ht="19" x14ac:dyDescent="0.25">
      <c r="A128" s="7"/>
      <c r="B128" s="7" t="s">
        <v>534</v>
      </c>
      <c r="C128" s="7" t="s">
        <v>384</v>
      </c>
      <c r="D128" s="7">
        <v>0.81</v>
      </c>
      <c r="E128" s="7" t="s">
        <v>14</v>
      </c>
      <c r="F128" s="7" t="s">
        <v>19</v>
      </c>
      <c r="G128" s="7" t="s">
        <v>535</v>
      </c>
    </row>
    <row r="129" spans="1:7" ht="19" x14ac:dyDescent="0.25">
      <c r="A129" s="7"/>
      <c r="B129" s="7" t="s">
        <v>536</v>
      </c>
      <c r="C129" s="7" t="s">
        <v>384</v>
      </c>
      <c r="D129" s="7">
        <v>0.96</v>
      </c>
      <c r="E129" s="7" t="s">
        <v>14</v>
      </c>
      <c r="F129" s="7" t="s">
        <v>19</v>
      </c>
      <c r="G129" s="7" t="s">
        <v>537</v>
      </c>
    </row>
    <row r="130" spans="1:7" ht="19" x14ac:dyDescent="0.25">
      <c r="A130" s="7"/>
      <c r="B130" s="7" t="s">
        <v>538</v>
      </c>
      <c r="C130" s="7" t="s">
        <v>357</v>
      </c>
      <c r="D130" s="7">
        <v>4.96</v>
      </c>
      <c r="E130" s="7" t="s">
        <v>14</v>
      </c>
      <c r="F130" s="7" t="s">
        <v>19</v>
      </c>
      <c r="G130" s="7" t="s">
        <v>539</v>
      </c>
    </row>
    <row r="131" spans="1:7" ht="19" x14ac:dyDescent="0.25">
      <c r="A131" s="7"/>
      <c r="B131" s="7" t="s">
        <v>540</v>
      </c>
      <c r="C131" s="7" t="s">
        <v>357</v>
      </c>
      <c r="D131" s="7">
        <v>1.73</v>
      </c>
      <c r="E131" s="7" t="s">
        <v>14</v>
      </c>
      <c r="F131" s="7" t="s">
        <v>19</v>
      </c>
      <c r="G131" s="7" t="s">
        <v>541</v>
      </c>
    </row>
    <row r="132" spans="1:7" ht="19" x14ac:dyDescent="0.25">
      <c r="A132" s="7"/>
      <c r="B132" s="7" t="s">
        <v>542</v>
      </c>
      <c r="C132" s="7" t="s">
        <v>357</v>
      </c>
      <c r="D132" s="7">
        <v>1.98</v>
      </c>
      <c r="E132" s="7" t="s">
        <v>14</v>
      </c>
      <c r="F132" s="7" t="s">
        <v>19</v>
      </c>
      <c r="G132" s="7" t="s">
        <v>543</v>
      </c>
    </row>
    <row r="133" spans="1:7" ht="19" x14ac:dyDescent="0.25">
      <c r="A133" s="7"/>
      <c r="B133" s="7" t="s">
        <v>544</v>
      </c>
      <c r="C133" s="7" t="s">
        <v>357</v>
      </c>
      <c r="D133" s="7">
        <v>2.85</v>
      </c>
      <c r="E133" s="7" t="s">
        <v>14</v>
      </c>
      <c r="F133" s="7" t="s">
        <v>19</v>
      </c>
      <c r="G133" s="7" t="s">
        <v>545</v>
      </c>
    </row>
    <row r="134" spans="1:7" ht="19" x14ac:dyDescent="0.25">
      <c r="A134" s="7" t="s">
        <v>546</v>
      </c>
      <c r="B134" s="7" t="s">
        <v>547</v>
      </c>
      <c r="C134" s="7" t="s">
        <v>384</v>
      </c>
      <c r="D134" s="7">
        <v>0.72</v>
      </c>
      <c r="E134" s="7" t="s">
        <v>14</v>
      </c>
      <c r="F134" s="7" t="s">
        <v>19</v>
      </c>
      <c r="G134" s="7" t="s">
        <v>548</v>
      </c>
    </row>
    <row r="135" spans="1:7" ht="19" x14ac:dyDescent="0.25">
      <c r="A135" s="7"/>
      <c r="B135" s="7" t="s">
        <v>549</v>
      </c>
      <c r="C135" s="7" t="s">
        <v>384</v>
      </c>
      <c r="D135" s="7">
        <v>0.27</v>
      </c>
      <c r="E135" s="7" t="s">
        <v>14</v>
      </c>
      <c r="F135" s="7" t="s">
        <v>15</v>
      </c>
      <c r="G135" s="7" t="s">
        <v>550</v>
      </c>
    </row>
    <row r="136" spans="1:7" ht="19" x14ac:dyDescent="0.25">
      <c r="A136" s="7"/>
      <c r="B136" s="7" t="s">
        <v>551</v>
      </c>
      <c r="C136" s="7" t="s">
        <v>384</v>
      </c>
      <c r="D136" s="7">
        <v>0.34</v>
      </c>
      <c r="E136" s="7" t="s">
        <v>14</v>
      </c>
      <c r="F136" s="7" t="s">
        <v>19</v>
      </c>
      <c r="G136" s="7" t="s">
        <v>552</v>
      </c>
    </row>
    <row r="137" spans="1:7" ht="19" x14ac:dyDescent="0.25">
      <c r="A137" s="7"/>
      <c r="B137" s="7" t="s">
        <v>553</v>
      </c>
      <c r="C137" s="7" t="s">
        <v>384</v>
      </c>
      <c r="D137" s="7">
        <v>0.54</v>
      </c>
      <c r="E137" s="7" t="s">
        <v>14</v>
      </c>
      <c r="F137" s="7" t="s">
        <v>19</v>
      </c>
      <c r="G137" s="7" t="s">
        <v>554</v>
      </c>
    </row>
    <row r="138" spans="1:7" ht="19" x14ac:dyDescent="0.25">
      <c r="A138" s="7"/>
      <c r="B138" s="7" t="s">
        <v>555</v>
      </c>
      <c r="C138" s="7" t="s">
        <v>384</v>
      </c>
      <c r="D138" s="7">
        <v>0.54</v>
      </c>
      <c r="E138" s="7" t="s">
        <v>14</v>
      </c>
      <c r="F138" s="7" t="s">
        <v>19</v>
      </c>
      <c r="G138" s="7" t="s">
        <v>556</v>
      </c>
    </row>
    <row r="139" spans="1:7" ht="19" x14ac:dyDescent="0.25">
      <c r="A139" s="7" t="s">
        <v>557</v>
      </c>
      <c r="B139" s="7" t="s">
        <v>558</v>
      </c>
      <c r="C139" s="7" t="s">
        <v>384</v>
      </c>
      <c r="D139" s="7">
        <v>0</v>
      </c>
      <c r="E139" s="7" t="s">
        <v>14</v>
      </c>
      <c r="F139" s="7" t="s">
        <v>19</v>
      </c>
      <c r="G139" s="7" t="s">
        <v>559</v>
      </c>
    </row>
    <row r="140" spans="1:7" ht="19" x14ac:dyDescent="0.25">
      <c r="A140" s="7"/>
      <c r="B140" s="7" t="s">
        <v>560</v>
      </c>
      <c r="C140" s="7" t="s">
        <v>384</v>
      </c>
      <c r="D140" s="7">
        <v>0.99</v>
      </c>
      <c r="E140" s="7" t="s">
        <v>14</v>
      </c>
      <c r="F140" s="7" t="s">
        <v>17</v>
      </c>
      <c r="G140" s="7" t="s">
        <v>561</v>
      </c>
    </row>
    <row r="141" spans="1:7" ht="19" x14ac:dyDescent="0.25">
      <c r="A141" s="7"/>
      <c r="B141" s="7" t="s">
        <v>562</v>
      </c>
      <c r="C141" s="7" t="s">
        <v>384</v>
      </c>
      <c r="D141" s="7">
        <v>0.08</v>
      </c>
      <c r="E141" s="7" t="s">
        <v>14</v>
      </c>
      <c r="F141" s="7" t="s">
        <v>19</v>
      </c>
      <c r="G141" s="7" t="s">
        <v>563</v>
      </c>
    </row>
    <row r="142" spans="1:7" ht="19" x14ac:dyDescent="0.25">
      <c r="A142" s="7"/>
      <c r="B142" s="7" t="s">
        <v>564</v>
      </c>
      <c r="C142" s="7" t="s">
        <v>384</v>
      </c>
      <c r="D142" s="7">
        <v>0.61</v>
      </c>
      <c r="E142" s="7" t="s">
        <v>14</v>
      </c>
      <c r="F142" s="7" t="s">
        <v>19</v>
      </c>
      <c r="G142" s="7" t="s">
        <v>565</v>
      </c>
    </row>
    <row r="143" spans="1:7" ht="19" x14ac:dyDescent="0.25">
      <c r="A143" s="7"/>
      <c r="B143" s="7" t="s">
        <v>566</v>
      </c>
      <c r="C143" s="7" t="s">
        <v>384</v>
      </c>
      <c r="D143" s="7">
        <v>0.08</v>
      </c>
      <c r="E143" s="7" t="s">
        <v>14</v>
      </c>
      <c r="F143" s="7" t="s">
        <v>19</v>
      </c>
      <c r="G143" s="7" t="s">
        <v>567</v>
      </c>
    </row>
    <row r="144" spans="1:7" ht="19" x14ac:dyDescent="0.25">
      <c r="A144" s="7"/>
      <c r="B144" s="7" t="s">
        <v>568</v>
      </c>
      <c r="C144" s="7" t="s">
        <v>384</v>
      </c>
      <c r="D144" s="7">
        <v>0.26</v>
      </c>
      <c r="E144" s="7" t="s">
        <v>14</v>
      </c>
      <c r="F144" s="7" t="s">
        <v>19</v>
      </c>
      <c r="G144" s="7" t="s">
        <v>569</v>
      </c>
    </row>
    <row r="145" spans="1:7" ht="19" x14ac:dyDescent="0.25">
      <c r="A145" s="7"/>
      <c r="B145" s="7" t="s">
        <v>570</v>
      </c>
      <c r="C145" s="7" t="s">
        <v>384</v>
      </c>
      <c r="D145" s="7">
        <v>0.34</v>
      </c>
      <c r="E145" s="7" t="s">
        <v>14</v>
      </c>
      <c r="F145" s="7" t="s">
        <v>19</v>
      </c>
      <c r="G145" s="7" t="s">
        <v>571</v>
      </c>
    </row>
    <row r="146" spans="1:7" ht="19" x14ac:dyDescent="0.25">
      <c r="A146" s="7"/>
      <c r="B146" s="7" t="s">
        <v>572</v>
      </c>
      <c r="C146" s="7" t="s">
        <v>384</v>
      </c>
      <c r="D146" s="7">
        <v>0.17</v>
      </c>
      <c r="E146" s="7" t="s">
        <v>14</v>
      </c>
      <c r="F146" s="7" t="s">
        <v>19</v>
      </c>
      <c r="G146" s="7" t="s">
        <v>573</v>
      </c>
    </row>
    <row r="147" spans="1:7" ht="19" x14ac:dyDescent="0.25">
      <c r="A147" s="7"/>
      <c r="B147" s="7" t="s">
        <v>574</v>
      </c>
      <c r="C147" s="7" t="s">
        <v>384</v>
      </c>
      <c r="D147" s="7">
        <v>0.1</v>
      </c>
      <c r="E147" s="7" t="s">
        <v>14</v>
      </c>
      <c r="F147" s="7" t="s">
        <v>19</v>
      </c>
      <c r="G147" s="7" t="s">
        <v>575</v>
      </c>
    </row>
    <row r="148" spans="1:7" ht="19" x14ac:dyDescent="0.25">
      <c r="A148" s="7"/>
      <c r="B148" s="7" t="s">
        <v>576</v>
      </c>
      <c r="C148" s="7" t="s">
        <v>384</v>
      </c>
      <c r="D148" s="7">
        <v>0.42</v>
      </c>
      <c r="E148" s="7" t="s">
        <v>14</v>
      </c>
      <c r="F148" s="7" t="s">
        <v>19</v>
      </c>
      <c r="G148" s="7" t="s">
        <v>577</v>
      </c>
    </row>
    <row r="149" spans="1:7" ht="19" x14ac:dyDescent="0.25">
      <c r="A149" s="7"/>
      <c r="B149" s="7" t="s">
        <v>578</v>
      </c>
      <c r="C149" s="7" t="s">
        <v>384</v>
      </c>
      <c r="D149" s="7">
        <v>0.26</v>
      </c>
      <c r="E149" s="7" t="s">
        <v>14</v>
      </c>
      <c r="F149" s="7" t="s">
        <v>19</v>
      </c>
      <c r="G149" s="7" t="s">
        <v>579</v>
      </c>
    </row>
    <row r="150" spans="1:7" ht="19" x14ac:dyDescent="0.25">
      <c r="A150" s="7"/>
      <c r="B150" s="7" t="s">
        <v>580</v>
      </c>
      <c r="C150" s="7" t="s">
        <v>384</v>
      </c>
      <c r="D150" s="7">
        <v>0.72</v>
      </c>
      <c r="E150" s="7" t="s">
        <v>14</v>
      </c>
      <c r="F150" s="7" t="s">
        <v>19</v>
      </c>
      <c r="G150" s="7" t="s">
        <v>581</v>
      </c>
    </row>
    <row r="151" spans="1:7" ht="19" x14ac:dyDescent="0.25">
      <c r="A151" s="7"/>
      <c r="B151" s="7" t="s">
        <v>582</v>
      </c>
      <c r="C151" s="7" t="s">
        <v>384</v>
      </c>
      <c r="D151" s="7">
        <v>0.43</v>
      </c>
      <c r="E151" s="7" t="s">
        <v>14</v>
      </c>
      <c r="F151" s="7" t="s">
        <v>19</v>
      </c>
      <c r="G151" s="7" t="s">
        <v>583</v>
      </c>
    </row>
    <row r="152" spans="1:7" ht="19" x14ac:dyDescent="0.25">
      <c r="A152" s="7"/>
      <c r="B152" s="7" t="s">
        <v>584</v>
      </c>
      <c r="C152" s="7" t="s">
        <v>384</v>
      </c>
      <c r="D152" s="7">
        <v>0</v>
      </c>
      <c r="E152" s="7" t="s">
        <v>14</v>
      </c>
      <c r="F152" s="7" t="s">
        <v>19</v>
      </c>
      <c r="G152" s="7" t="s">
        <v>585</v>
      </c>
    </row>
    <row r="153" spans="1:7" ht="19" x14ac:dyDescent="0.25">
      <c r="A153" s="7" t="s">
        <v>586</v>
      </c>
      <c r="B153" s="7" t="s">
        <v>587</v>
      </c>
      <c r="C153" s="7" t="s">
        <v>384</v>
      </c>
      <c r="D153" s="7">
        <v>1.01</v>
      </c>
      <c r="E153" s="7" t="s">
        <v>14</v>
      </c>
      <c r="F153" s="7" t="s">
        <v>19</v>
      </c>
      <c r="G153" s="7" t="s">
        <v>588</v>
      </c>
    </row>
    <row r="154" spans="1:7" ht="19" x14ac:dyDescent="0.25">
      <c r="A154" s="7"/>
      <c r="B154" s="7" t="s">
        <v>589</v>
      </c>
      <c r="C154" s="7" t="s">
        <v>384</v>
      </c>
      <c r="D154" s="7">
        <v>0.7</v>
      </c>
      <c r="E154" s="7" t="s">
        <v>14</v>
      </c>
      <c r="F154" s="7" t="s">
        <v>19</v>
      </c>
      <c r="G154" s="7" t="s">
        <v>590</v>
      </c>
    </row>
    <row r="155" spans="1:7" ht="19" x14ac:dyDescent="0.25">
      <c r="A155" s="7"/>
      <c r="B155" s="7" t="s">
        <v>591</v>
      </c>
      <c r="C155" s="7" t="s">
        <v>384</v>
      </c>
      <c r="D155" s="7">
        <v>0.56000000000000005</v>
      </c>
      <c r="E155" s="7" t="s">
        <v>14</v>
      </c>
      <c r="F155" s="7" t="s">
        <v>17</v>
      </c>
      <c r="G155" s="7" t="s">
        <v>592</v>
      </c>
    </row>
    <row r="156" spans="1:7" ht="19" x14ac:dyDescent="0.25">
      <c r="A156" s="7" t="s">
        <v>593</v>
      </c>
      <c r="B156" s="7" t="s">
        <v>594</v>
      </c>
      <c r="C156" s="24" t="s">
        <v>23</v>
      </c>
      <c r="D156" s="7">
        <v>0.64</v>
      </c>
      <c r="E156" s="7" t="s">
        <v>14</v>
      </c>
      <c r="F156" s="7" t="s">
        <v>17</v>
      </c>
      <c r="G156" s="7" t="s">
        <v>595</v>
      </c>
    </row>
    <row r="157" spans="1:7" ht="19" x14ac:dyDescent="0.25">
      <c r="A157" s="7"/>
      <c r="B157" s="7" t="s">
        <v>596</v>
      </c>
      <c r="C157" s="7" t="s">
        <v>23</v>
      </c>
      <c r="D157" s="7">
        <v>1.3</v>
      </c>
      <c r="E157" s="7" t="s">
        <v>14</v>
      </c>
      <c r="F157" s="7" t="s">
        <v>19</v>
      </c>
      <c r="G157" s="7" t="s">
        <v>597</v>
      </c>
    </row>
    <row r="158" spans="1:7" ht="19" x14ac:dyDescent="0.25">
      <c r="A158" s="7" t="s">
        <v>598</v>
      </c>
      <c r="B158" s="7" t="s">
        <v>599</v>
      </c>
      <c r="C158" s="7" t="s">
        <v>23</v>
      </c>
      <c r="D158" s="7">
        <v>7.88</v>
      </c>
      <c r="E158" s="7" t="s">
        <v>14</v>
      </c>
      <c r="F158" s="7" t="s">
        <v>17</v>
      </c>
      <c r="G158" s="7" t="s">
        <v>600</v>
      </c>
    </row>
    <row r="159" spans="1:7" ht="19" x14ac:dyDescent="0.25">
      <c r="A159" s="7" t="s">
        <v>15</v>
      </c>
      <c r="B159" s="7" t="s">
        <v>713</v>
      </c>
      <c r="C159" s="7" t="s">
        <v>384</v>
      </c>
      <c r="D159" s="7">
        <v>0.11</v>
      </c>
      <c r="E159" s="7" t="s">
        <v>14</v>
      </c>
      <c r="F159" s="7" t="s">
        <v>19</v>
      </c>
      <c r="G159" s="7" t="s">
        <v>714</v>
      </c>
    </row>
    <row r="160" spans="1:7" ht="19" x14ac:dyDescent="0.25">
      <c r="A160" s="7" t="s">
        <v>291</v>
      </c>
      <c r="B160" s="7" t="s">
        <v>303</v>
      </c>
      <c r="C160" s="7" t="s">
        <v>301</v>
      </c>
      <c r="D160" s="7">
        <v>7.88</v>
      </c>
      <c r="E160" s="7" t="s">
        <v>14</v>
      </c>
      <c r="F160" s="7" t="s">
        <v>19</v>
      </c>
      <c r="G160" s="7" t="s">
        <v>310</v>
      </c>
    </row>
    <row r="161" spans="1:7" ht="19" x14ac:dyDescent="0.25">
      <c r="A161" s="7"/>
      <c r="B161" s="7" t="s">
        <v>302</v>
      </c>
      <c r="C161" s="7" t="s">
        <v>299</v>
      </c>
      <c r="D161" s="7">
        <v>3.94</v>
      </c>
      <c r="E161" s="7" t="s">
        <v>14</v>
      </c>
      <c r="F161" s="7" t="s">
        <v>19</v>
      </c>
      <c r="G161" s="7" t="s">
        <v>309</v>
      </c>
    </row>
    <row r="162" spans="1:7" ht="19" x14ac:dyDescent="0.25">
      <c r="A162" s="7"/>
      <c r="B162" s="7" t="s">
        <v>294</v>
      </c>
      <c r="C162" s="7" t="s">
        <v>23</v>
      </c>
      <c r="D162" s="7">
        <v>1.97</v>
      </c>
      <c r="E162" s="7" t="s">
        <v>14</v>
      </c>
      <c r="F162" s="7" t="s">
        <v>19</v>
      </c>
      <c r="G162" s="7" t="s">
        <v>39</v>
      </c>
    </row>
    <row r="163" spans="1:7" ht="19" x14ac:dyDescent="0.25">
      <c r="A163" s="7"/>
      <c r="B163" s="7" t="s">
        <v>306</v>
      </c>
      <c r="C163" s="7" t="s">
        <v>301</v>
      </c>
      <c r="D163" s="7">
        <v>4.88</v>
      </c>
      <c r="E163" s="7" t="s">
        <v>14</v>
      </c>
      <c r="F163" s="7" t="s">
        <v>19</v>
      </c>
      <c r="G163" s="7" t="s">
        <v>314</v>
      </c>
    </row>
    <row r="164" spans="1:7" ht="19" x14ac:dyDescent="0.25">
      <c r="A164" s="7"/>
      <c r="B164" s="7" t="s">
        <v>305</v>
      </c>
      <c r="C164" s="7" t="s">
        <v>299</v>
      </c>
      <c r="D164" s="7">
        <v>2.44</v>
      </c>
      <c r="E164" s="7" t="s">
        <v>14</v>
      </c>
      <c r="F164" s="7" t="s">
        <v>19</v>
      </c>
      <c r="G164" s="7" t="s">
        <v>313</v>
      </c>
    </row>
    <row r="165" spans="1:7" ht="19" x14ac:dyDescent="0.25">
      <c r="A165" s="7"/>
      <c r="B165" s="7" t="s">
        <v>295</v>
      </c>
      <c r="C165" s="7" t="s">
        <v>23</v>
      </c>
      <c r="D165" s="7">
        <v>1.22</v>
      </c>
      <c r="E165" s="7" t="s">
        <v>14</v>
      </c>
      <c r="F165" s="7" t="s">
        <v>19</v>
      </c>
      <c r="G165" s="7" t="s">
        <v>41</v>
      </c>
    </row>
    <row r="166" spans="1:7" ht="19" x14ac:dyDescent="0.25">
      <c r="A166" s="7"/>
      <c r="B166" s="7" t="s">
        <v>662</v>
      </c>
      <c r="C166" s="7" t="s">
        <v>301</v>
      </c>
      <c r="D166" s="7">
        <v>0</v>
      </c>
      <c r="E166" s="7" t="s">
        <v>14</v>
      </c>
      <c r="F166" s="7" t="s">
        <v>15</v>
      </c>
      <c r="G166" s="7" t="s">
        <v>663</v>
      </c>
    </row>
    <row r="167" spans="1:7" ht="19" x14ac:dyDescent="0.25">
      <c r="A167" s="7"/>
      <c r="B167" s="7" t="s">
        <v>664</v>
      </c>
      <c r="C167" s="7" t="s">
        <v>23</v>
      </c>
      <c r="D167" s="7">
        <v>0</v>
      </c>
      <c r="E167" s="7" t="s">
        <v>14</v>
      </c>
      <c r="F167" s="7" t="s">
        <v>15</v>
      </c>
      <c r="G167" s="7" t="s">
        <v>665</v>
      </c>
    </row>
    <row r="168" spans="1:7" ht="19" x14ac:dyDescent="0.25">
      <c r="A168" s="7"/>
      <c r="B168" s="7" t="s">
        <v>300</v>
      </c>
      <c r="C168" s="7" t="s">
        <v>301</v>
      </c>
      <c r="D168" s="7">
        <v>12.2</v>
      </c>
      <c r="E168" s="7" t="s">
        <v>14</v>
      </c>
      <c r="F168" s="7" t="s">
        <v>19</v>
      </c>
      <c r="G168" s="7" t="s">
        <v>308</v>
      </c>
    </row>
    <row r="169" spans="1:7" ht="19" x14ac:dyDescent="0.25">
      <c r="A169" s="7"/>
      <c r="B169" s="7" t="s">
        <v>298</v>
      </c>
      <c r="C169" s="7" t="s">
        <v>299</v>
      </c>
      <c r="D169" s="7">
        <v>6.1</v>
      </c>
      <c r="E169" s="7" t="s">
        <v>14</v>
      </c>
      <c r="F169" s="7" t="s">
        <v>19</v>
      </c>
      <c r="G169" s="7" t="s">
        <v>307</v>
      </c>
    </row>
    <row r="170" spans="1:7" ht="19" x14ac:dyDescent="0.25">
      <c r="A170" s="7"/>
      <c r="B170" s="7" t="s">
        <v>293</v>
      </c>
      <c r="C170" s="7" t="s">
        <v>23</v>
      </c>
      <c r="D170" s="7">
        <v>3.05</v>
      </c>
      <c r="E170" s="7" t="s">
        <v>14</v>
      </c>
      <c r="F170" s="7" t="s">
        <v>19</v>
      </c>
      <c r="G170" s="7" t="s">
        <v>43</v>
      </c>
    </row>
    <row r="171" spans="1:7" ht="19" x14ac:dyDescent="0.25">
      <c r="A171" s="7"/>
      <c r="B171" s="7" t="s">
        <v>296</v>
      </c>
      <c r="C171" s="7" t="s">
        <v>16</v>
      </c>
      <c r="D171" s="7">
        <v>13.3</v>
      </c>
      <c r="E171" s="7" t="s">
        <v>14</v>
      </c>
      <c r="F171" s="7" t="s">
        <v>19</v>
      </c>
      <c r="G171" s="7" t="s">
        <v>40</v>
      </c>
    </row>
    <row r="172" spans="1:7" ht="19" x14ac:dyDescent="0.25">
      <c r="A172" s="7"/>
      <c r="B172" s="7" t="s">
        <v>304</v>
      </c>
      <c r="C172" s="7" t="s">
        <v>301</v>
      </c>
      <c r="D172" s="7">
        <v>11.36</v>
      </c>
      <c r="E172" s="7" t="s">
        <v>14</v>
      </c>
      <c r="F172" s="7" t="s">
        <v>17</v>
      </c>
      <c r="G172" s="7" t="s">
        <v>312</v>
      </c>
    </row>
    <row r="173" spans="1:7" ht="19" x14ac:dyDescent="0.25">
      <c r="A173" s="7"/>
      <c r="B173" s="7" t="s">
        <v>292</v>
      </c>
      <c r="C173" s="7" t="s">
        <v>16</v>
      </c>
      <c r="D173" s="7">
        <v>8.52</v>
      </c>
      <c r="E173" s="7" t="s">
        <v>14</v>
      </c>
      <c r="F173" s="7" t="s">
        <v>19</v>
      </c>
      <c r="G173" s="7" t="s">
        <v>42</v>
      </c>
    </row>
    <row r="174" spans="1:7" ht="19" x14ac:dyDescent="0.25">
      <c r="A174" s="7"/>
      <c r="B174" s="7" t="s">
        <v>297</v>
      </c>
      <c r="C174" s="7" t="s">
        <v>23</v>
      </c>
      <c r="D174" s="7">
        <v>2.84</v>
      </c>
      <c r="E174" s="7" t="s">
        <v>14</v>
      </c>
      <c r="F174" s="7" t="s">
        <v>17</v>
      </c>
      <c r="G174" s="7" t="s">
        <v>45</v>
      </c>
    </row>
    <row r="175" spans="1:7" ht="19" x14ac:dyDescent="0.25">
      <c r="A175" s="7"/>
      <c r="B175" s="7"/>
      <c r="C175" s="7"/>
      <c r="D175" s="7">
        <v>5.68</v>
      </c>
      <c r="E175" s="7" t="s">
        <v>14</v>
      </c>
      <c r="F175" s="7" t="s">
        <v>17</v>
      </c>
      <c r="G175" s="7" t="s">
        <v>311</v>
      </c>
    </row>
    <row r="176" spans="1:7" ht="19" x14ac:dyDescent="0.25">
      <c r="A176" s="7" t="s">
        <v>601</v>
      </c>
      <c r="B176" s="7" t="s">
        <v>602</v>
      </c>
      <c r="C176" s="7" t="s">
        <v>16</v>
      </c>
      <c r="D176" s="7">
        <v>3.66</v>
      </c>
      <c r="E176" s="7" t="s">
        <v>14</v>
      </c>
      <c r="F176" s="7" t="s">
        <v>15</v>
      </c>
      <c r="G176" s="7" t="s">
        <v>603</v>
      </c>
    </row>
    <row r="177" spans="1:7" ht="19" x14ac:dyDescent="0.25">
      <c r="A177" s="7"/>
      <c r="B177" s="7" t="s">
        <v>604</v>
      </c>
      <c r="C177" s="7" t="s">
        <v>16</v>
      </c>
      <c r="D177" s="7">
        <v>12.42</v>
      </c>
      <c r="E177" s="7" t="s">
        <v>14</v>
      </c>
      <c r="F177" s="7" t="s">
        <v>19</v>
      </c>
      <c r="G177" s="7" t="s">
        <v>605</v>
      </c>
    </row>
    <row r="178" spans="1:7" ht="19" x14ac:dyDescent="0.25">
      <c r="A178" s="7" t="s">
        <v>666</v>
      </c>
      <c r="B178" s="7" t="s">
        <v>667</v>
      </c>
      <c r="C178" s="7" t="s">
        <v>668</v>
      </c>
      <c r="D178" s="7">
        <v>13.1</v>
      </c>
      <c r="E178" s="7" t="s">
        <v>14</v>
      </c>
      <c r="F178" s="7" t="s">
        <v>15</v>
      </c>
      <c r="G178" s="7" t="s">
        <v>669</v>
      </c>
    </row>
    <row r="179" spans="1:7" ht="19" x14ac:dyDescent="0.25">
      <c r="A179" s="7"/>
      <c r="B179" s="7" t="s">
        <v>670</v>
      </c>
      <c r="C179" s="7" t="s">
        <v>671</v>
      </c>
      <c r="D179" s="7">
        <v>6.3</v>
      </c>
      <c r="E179" s="7" t="s">
        <v>14</v>
      </c>
      <c r="F179" s="7" t="s">
        <v>15</v>
      </c>
      <c r="G179" s="7" t="s">
        <v>672</v>
      </c>
    </row>
    <row r="180" spans="1:7" ht="19" x14ac:dyDescent="0.25">
      <c r="A180" s="7"/>
      <c r="B180" s="7" t="s">
        <v>673</v>
      </c>
      <c r="C180" s="7" t="s">
        <v>674</v>
      </c>
      <c r="D180" s="7">
        <v>1.8</v>
      </c>
      <c r="E180" s="7" t="s">
        <v>14</v>
      </c>
      <c r="F180" s="7" t="s">
        <v>15</v>
      </c>
      <c r="G180" s="7" t="s">
        <v>675</v>
      </c>
    </row>
    <row r="181" spans="1:7" ht="19" x14ac:dyDescent="0.25">
      <c r="A181" s="7"/>
      <c r="B181" s="7" t="s">
        <v>676</v>
      </c>
      <c r="C181" s="7" t="s">
        <v>668</v>
      </c>
      <c r="D181" s="7">
        <v>6.55</v>
      </c>
      <c r="E181" s="7" t="s">
        <v>14</v>
      </c>
      <c r="F181" s="7" t="s">
        <v>15</v>
      </c>
      <c r="G181" s="7" t="s">
        <v>677</v>
      </c>
    </row>
    <row r="182" spans="1:7" ht="19" x14ac:dyDescent="0.25">
      <c r="A182" s="7"/>
      <c r="B182" s="7" t="s">
        <v>678</v>
      </c>
      <c r="C182" s="7" t="s">
        <v>671</v>
      </c>
      <c r="D182" s="7">
        <v>3.15</v>
      </c>
      <c r="E182" s="7" t="s">
        <v>14</v>
      </c>
      <c r="F182" s="7" t="s">
        <v>15</v>
      </c>
      <c r="G182" s="7" t="s">
        <v>679</v>
      </c>
    </row>
    <row r="183" spans="1:7" ht="19" x14ac:dyDescent="0.25">
      <c r="A183" s="7"/>
      <c r="B183" s="7" t="s">
        <v>680</v>
      </c>
      <c r="C183" s="7" t="s">
        <v>674</v>
      </c>
      <c r="D183" s="7">
        <v>0.89</v>
      </c>
      <c r="E183" s="7" t="s">
        <v>14</v>
      </c>
      <c r="F183" s="7" t="s">
        <v>15</v>
      </c>
      <c r="G183" s="7" t="s">
        <v>681</v>
      </c>
    </row>
    <row r="184" spans="1:7" ht="19" x14ac:dyDescent="0.25">
      <c r="A184" s="7"/>
      <c r="B184" s="7" t="s">
        <v>682</v>
      </c>
      <c r="C184" s="7" t="s">
        <v>674</v>
      </c>
      <c r="D184" s="7">
        <v>0.51</v>
      </c>
      <c r="E184" s="7" t="s">
        <v>14</v>
      </c>
      <c r="F184" s="7" t="s">
        <v>15</v>
      </c>
      <c r="G184" s="7" t="s">
        <v>683</v>
      </c>
    </row>
    <row r="185" spans="1:7" ht="19" x14ac:dyDescent="0.25">
      <c r="A185" s="7"/>
      <c r="B185" s="7"/>
      <c r="C185" s="7" t="s">
        <v>671</v>
      </c>
      <c r="D185" s="7">
        <v>1.8</v>
      </c>
      <c r="E185" s="7" t="s">
        <v>14</v>
      </c>
      <c r="F185" s="7" t="s">
        <v>15</v>
      </c>
      <c r="G185" s="7" t="s">
        <v>684</v>
      </c>
    </row>
    <row r="186" spans="1:7" ht="19" x14ac:dyDescent="0.25">
      <c r="A186" s="7"/>
      <c r="B186" s="7"/>
      <c r="C186" s="7" t="s">
        <v>715</v>
      </c>
      <c r="D186" s="7">
        <v>3.38</v>
      </c>
      <c r="E186" s="7" t="s">
        <v>14</v>
      </c>
      <c r="F186" s="7" t="s">
        <v>15</v>
      </c>
      <c r="G186" s="7" t="s">
        <v>685</v>
      </c>
    </row>
    <row r="187" spans="1:7" ht="19" x14ac:dyDescent="0.25">
      <c r="A187" s="7"/>
      <c r="B187" s="7" t="s">
        <v>686</v>
      </c>
      <c r="C187" s="7" t="s">
        <v>668</v>
      </c>
      <c r="D187" s="7">
        <v>13.57</v>
      </c>
      <c r="E187" s="7" t="s">
        <v>14</v>
      </c>
      <c r="F187" s="7" t="s">
        <v>17</v>
      </c>
      <c r="G187" s="7" t="s">
        <v>687</v>
      </c>
    </row>
    <row r="188" spans="1:7" ht="19" x14ac:dyDescent="0.25">
      <c r="A188" s="7"/>
      <c r="B188" s="7" t="s">
        <v>688</v>
      </c>
      <c r="C188" s="7" t="s">
        <v>671</v>
      </c>
      <c r="D188" s="7">
        <v>6.52</v>
      </c>
      <c r="E188" s="7" t="s">
        <v>14</v>
      </c>
      <c r="F188" s="7" t="s">
        <v>17</v>
      </c>
      <c r="G188" s="7" t="s">
        <v>689</v>
      </c>
    </row>
    <row r="189" spans="1:7" ht="19" x14ac:dyDescent="0.25">
      <c r="A189" s="7"/>
      <c r="B189" s="7" t="s">
        <v>690</v>
      </c>
      <c r="C189" s="7" t="s">
        <v>674</v>
      </c>
      <c r="D189" s="7">
        <v>1.85</v>
      </c>
      <c r="E189" s="7" t="s">
        <v>14</v>
      </c>
      <c r="F189" s="7" t="s">
        <v>15</v>
      </c>
      <c r="G189" s="7" t="s">
        <v>691</v>
      </c>
    </row>
    <row r="190" spans="1:7" x14ac:dyDescent="0.2">
      <c r="A190"/>
      <c r="B190"/>
      <c r="C190" s="13"/>
    </row>
    <row r="191" spans="1:7" x14ac:dyDescent="0.2">
      <c r="A191"/>
      <c r="B191"/>
      <c r="C191" s="13"/>
    </row>
    <row r="192" spans="1:7" x14ac:dyDescent="0.2">
      <c r="A192"/>
      <c r="B192"/>
      <c r="C192" s="13"/>
    </row>
    <row r="193" spans="1:3" x14ac:dyDescent="0.2">
      <c r="A193"/>
      <c r="B193"/>
      <c r="C193" s="13"/>
    </row>
    <row r="194" spans="1:3" x14ac:dyDescent="0.2">
      <c r="A194"/>
      <c r="B194"/>
      <c r="C194" s="13"/>
    </row>
    <row r="195" spans="1:3" x14ac:dyDescent="0.2">
      <c r="A195"/>
      <c r="B195"/>
      <c r="C195" s="13"/>
    </row>
    <row r="196" spans="1:3" x14ac:dyDescent="0.2">
      <c r="A196"/>
      <c r="B196"/>
      <c r="C196" s="13"/>
    </row>
    <row r="197" spans="1:3" x14ac:dyDescent="0.2">
      <c r="A197"/>
      <c r="B197"/>
      <c r="C197" s="13"/>
    </row>
    <row r="198" spans="1:3" x14ac:dyDescent="0.2">
      <c r="A198"/>
      <c r="B198"/>
      <c r="C198" s="13"/>
    </row>
    <row r="199" spans="1:3" x14ac:dyDescent="0.2">
      <c r="A199"/>
      <c r="B199"/>
      <c r="C199" s="13"/>
    </row>
    <row r="200" spans="1:3" x14ac:dyDescent="0.2">
      <c r="A200"/>
      <c r="B200"/>
      <c r="C200" s="13"/>
    </row>
    <row r="201" spans="1:3" x14ac:dyDescent="0.2">
      <c r="A201"/>
      <c r="B201"/>
      <c r="C201" s="13"/>
    </row>
    <row r="202" spans="1:3" x14ac:dyDescent="0.2">
      <c r="A202"/>
      <c r="B202"/>
      <c r="C202" s="13"/>
    </row>
    <row r="203" spans="1:3" x14ac:dyDescent="0.2">
      <c r="A203"/>
      <c r="B203"/>
      <c r="C203" s="13"/>
    </row>
    <row r="204" spans="1:3" x14ac:dyDescent="0.2">
      <c r="A204"/>
      <c r="B204"/>
      <c r="C204" s="13"/>
    </row>
    <row r="205" spans="1:3" x14ac:dyDescent="0.2">
      <c r="A205"/>
      <c r="B205"/>
      <c r="C205" s="13"/>
    </row>
    <row r="206" spans="1:3" x14ac:dyDescent="0.2">
      <c r="A206"/>
      <c r="B206"/>
      <c r="C206" s="13"/>
    </row>
    <row r="207" spans="1:3" x14ac:dyDescent="0.2">
      <c r="A207"/>
      <c r="B207"/>
      <c r="C207" s="13"/>
    </row>
    <row r="208" spans="1:3" x14ac:dyDescent="0.2">
      <c r="A208"/>
      <c r="B208"/>
      <c r="C208" s="13"/>
    </row>
    <row r="209" spans="1:3" x14ac:dyDescent="0.2">
      <c r="A209"/>
      <c r="B209"/>
      <c r="C209" s="13"/>
    </row>
    <row r="210" spans="1:3" x14ac:dyDescent="0.2">
      <c r="A210"/>
      <c r="B210"/>
      <c r="C210" s="13"/>
    </row>
    <row r="211" spans="1:3" x14ac:dyDescent="0.2">
      <c r="A211"/>
      <c r="B211"/>
      <c r="C211" s="13"/>
    </row>
    <row r="212" spans="1:3" x14ac:dyDescent="0.2">
      <c r="A212"/>
      <c r="B212"/>
      <c r="C212" s="13"/>
    </row>
    <row r="213" spans="1:3" x14ac:dyDescent="0.2">
      <c r="A213"/>
      <c r="B213"/>
      <c r="C213" s="13"/>
    </row>
    <row r="214" spans="1:3" x14ac:dyDescent="0.2">
      <c r="A214"/>
      <c r="B214"/>
      <c r="C214" s="13"/>
    </row>
    <row r="215" spans="1:3" x14ac:dyDescent="0.2">
      <c r="A215"/>
      <c r="B215"/>
      <c r="C215" s="13"/>
    </row>
    <row r="216" spans="1:3" x14ac:dyDescent="0.2">
      <c r="A216"/>
      <c r="B216"/>
      <c r="C216" s="13"/>
    </row>
    <row r="217" spans="1:3" x14ac:dyDescent="0.2">
      <c r="A217"/>
      <c r="B217"/>
      <c r="C217" s="13"/>
    </row>
    <row r="218" spans="1:3" x14ac:dyDescent="0.2">
      <c r="A218"/>
      <c r="B218"/>
      <c r="C218" s="13"/>
    </row>
    <row r="219" spans="1:3" x14ac:dyDescent="0.2">
      <c r="A219"/>
      <c r="B219"/>
      <c r="C219" s="13"/>
    </row>
    <row r="220" spans="1:3" x14ac:dyDescent="0.2">
      <c r="A220"/>
      <c r="B220"/>
      <c r="C220" s="13"/>
    </row>
    <row r="221" spans="1:3" x14ac:dyDescent="0.2">
      <c r="A221"/>
      <c r="B221"/>
      <c r="C221" s="13"/>
    </row>
    <row r="222" spans="1:3" x14ac:dyDescent="0.2">
      <c r="A222"/>
      <c r="B222"/>
      <c r="C222" s="13"/>
    </row>
    <row r="223" spans="1:3" x14ac:dyDescent="0.2">
      <c r="A223"/>
      <c r="B223"/>
      <c r="C223" s="13"/>
    </row>
    <row r="224" spans="1:3" x14ac:dyDescent="0.2">
      <c r="A224"/>
      <c r="B224"/>
      <c r="C224" s="13"/>
    </row>
    <row r="225" spans="1:3" x14ac:dyDescent="0.2">
      <c r="A225"/>
      <c r="B225"/>
      <c r="C225" s="13"/>
    </row>
    <row r="226" spans="1:3" x14ac:dyDescent="0.2">
      <c r="A226"/>
      <c r="B226"/>
      <c r="C226" s="13"/>
    </row>
    <row r="227" spans="1:3" x14ac:dyDescent="0.2">
      <c r="A227"/>
      <c r="B227"/>
      <c r="C227" s="13"/>
    </row>
    <row r="228" spans="1:3" x14ac:dyDescent="0.2">
      <c r="A228"/>
      <c r="B228"/>
      <c r="C228" s="13"/>
    </row>
    <row r="229" spans="1:3" x14ac:dyDescent="0.2">
      <c r="A229"/>
      <c r="B229"/>
      <c r="C229" s="13"/>
    </row>
    <row r="230" spans="1:3" x14ac:dyDescent="0.2">
      <c r="A230"/>
      <c r="B230"/>
      <c r="C230" s="13"/>
    </row>
    <row r="231" spans="1:3" x14ac:dyDescent="0.2">
      <c r="A231"/>
      <c r="B231"/>
      <c r="C231" s="13"/>
    </row>
    <row r="232" spans="1:3" x14ac:dyDescent="0.2">
      <c r="A232"/>
      <c r="B232"/>
      <c r="C232" s="13"/>
    </row>
    <row r="233" spans="1:3" x14ac:dyDescent="0.2">
      <c r="A233"/>
      <c r="B233"/>
      <c r="C233" s="13"/>
    </row>
    <row r="234" spans="1:3" x14ac:dyDescent="0.2">
      <c r="A234"/>
      <c r="B234"/>
      <c r="C234" s="13"/>
    </row>
    <row r="235" spans="1:3" x14ac:dyDescent="0.2">
      <c r="A235"/>
      <c r="B235"/>
      <c r="C235" s="13"/>
    </row>
    <row r="236" spans="1:3" x14ac:dyDescent="0.2">
      <c r="A236"/>
      <c r="B236"/>
      <c r="C236" s="13"/>
    </row>
    <row r="237" spans="1:3" x14ac:dyDescent="0.2">
      <c r="A237"/>
      <c r="B237"/>
      <c r="C237" s="13"/>
    </row>
    <row r="238" spans="1:3" x14ac:dyDescent="0.2">
      <c r="A238"/>
      <c r="B238"/>
      <c r="C238" s="13"/>
    </row>
    <row r="239" spans="1:3" x14ac:dyDescent="0.2">
      <c r="A239"/>
      <c r="B239"/>
      <c r="C239" s="13"/>
    </row>
    <row r="240" spans="1:3" x14ac:dyDescent="0.2">
      <c r="A240"/>
      <c r="B240"/>
      <c r="C240" s="13"/>
    </row>
    <row r="241" spans="1:3" x14ac:dyDescent="0.2">
      <c r="A241"/>
      <c r="B241"/>
      <c r="C241" s="13"/>
    </row>
    <row r="242" spans="1:3" x14ac:dyDescent="0.2">
      <c r="A242"/>
      <c r="B242"/>
      <c r="C242" s="13"/>
    </row>
    <row r="243" spans="1:3" x14ac:dyDescent="0.2">
      <c r="A243"/>
      <c r="B243"/>
      <c r="C243" s="13"/>
    </row>
    <row r="244" spans="1:3" x14ac:dyDescent="0.2">
      <c r="A244"/>
      <c r="B244"/>
      <c r="C244" s="13"/>
    </row>
    <row r="245" spans="1:3" x14ac:dyDescent="0.2">
      <c r="A245"/>
      <c r="B245"/>
      <c r="C245" s="13"/>
    </row>
    <row r="246" spans="1:3" x14ac:dyDescent="0.2">
      <c r="A246"/>
      <c r="B246"/>
      <c r="C246" s="13"/>
    </row>
    <row r="247" spans="1:3" x14ac:dyDescent="0.2">
      <c r="A247"/>
      <c r="B247"/>
      <c r="C247" s="13"/>
    </row>
    <row r="248" spans="1:3" x14ac:dyDescent="0.2">
      <c r="A248"/>
      <c r="B248"/>
      <c r="C248" s="13"/>
    </row>
    <row r="249" spans="1:3" x14ac:dyDescent="0.2">
      <c r="A249"/>
      <c r="B249"/>
      <c r="C249" s="13"/>
    </row>
    <row r="250" spans="1:3" x14ac:dyDescent="0.2">
      <c r="A250"/>
      <c r="B250"/>
      <c r="C250" s="13"/>
    </row>
    <row r="251" spans="1:3" x14ac:dyDescent="0.2">
      <c r="A251"/>
      <c r="B251"/>
      <c r="C251" s="13"/>
    </row>
    <row r="252" spans="1:3" x14ac:dyDescent="0.2">
      <c r="A252"/>
      <c r="B252"/>
      <c r="C252" s="13"/>
    </row>
    <row r="253" spans="1:3" x14ac:dyDescent="0.2">
      <c r="A253"/>
      <c r="B253"/>
      <c r="C253" s="13"/>
    </row>
    <row r="254" spans="1:3" x14ac:dyDescent="0.2">
      <c r="A254"/>
      <c r="B254"/>
      <c r="C254" s="13"/>
    </row>
    <row r="255" spans="1:3" x14ac:dyDescent="0.2">
      <c r="A255"/>
      <c r="B255"/>
      <c r="C255" s="13"/>
    </row>
    <row r="256" spans="1:3" x14ac:dyDescent="0.2">
      <c r="A256"/>
      <c r="B256"/>
      <c r="C256" s="13"/>
    </row>
    <row r="257" spans="1:3" x14ac:dyDescent="0.2">
      <c r="A257"/>
      <c r="B257"/>
      <c r="C257" s="13"/>
    </row>
    <row r="258" spans="1:3" x14ac:dyDescent="0.2">
      <c r="A258"/>
      <c r="B258"/>
      <c r="C258" s="13"/>
    </row>
    <row r="259" spans="1:3" x14ac:dyDescent="0.2">
      <c r="A259"/>
      <c r="B259"/>
      <c r="C259" s="13"/>
    </row>
    <row r="260" spans="1:3" x14ac:dyDescent="0.2">
      <c r="A260"/>
      <c r="B260"/>
      <c r="C260" s="13"/>
    </row>
    <row r="261" spans="1:3" x14ac:dyDescent="0.2">
      <c r="A261"/>
      <c r="B261"/>
      <c r="C261" s="13"/>
    </row>
    <row r="262" spans="1:3" x14ac:dyDescent="0.2">
      <c r="A262"/>
      <c r="B262"/>
      <c r="C262" s="13"/>
    </row>
    <row r="263" spans="1:3" x14ac:dyDescent="0.2">
      <c r="A263"/>
      <c r="B263"/>
      <c r="C263" s="13"/>
    </row>
    <row r="264" spans="1:3" x14ac:dyDescent="0.2">
      <c r="A264"/>
      <c r="B264"/>
      <c r="C264" s="13"/>
    </row>
    <row r="265" spans="1:3" x14ac:dyDescent="0.2">
      <c r="A265"/>
      <c r="B265"/>
      <c r="C265" s="13"/>
    </row>
    <row r="266" spans="1:3" x14ac:dyDescent="0.2">
      <c r="A266"/>
      <c r="B266"/>
      <c r="C266" s="13"/>
    </row>
    <row r="267" spans="1:3" x14ac:dyDescent="0.2">
      <c r="A267"/>
      <c r="B267"/>
      <c r="C267" s="13"/>
    </row>
    <row r="268" spans="1:3" x14ac:dyDescent="0.2">
      <c r="A268"/>
      <c r="B268"/>
      <c r="C268" s="13"/>
    </row>
    <row r="269" spans="1:3" x14ac:dyDescent="0.2">
      <c r="A269"/>
      <c r="B269"/>
      <c r="C269" s="13"/>
    </row>
    <row r="270" spans="1:3" x14ac:dyDescent="0.2">
      <c r="A270"/>
      <c r="B270"/>
      <c r="C270" s="13"/>
    </row>
    <row r="271" spans="1:3" x14ac:dyDescent="0.2">
      <c r="A271"/>
      <c r="B271"/>
      <c r="C271" s="13"/>
    </row>
    <row r="272" spans="1:3" x14ac:dyDescent="0.2">
      <c r="A272"/>
      <c r="B272"/>
      <c r="C272" s="13"/>
    </row>
    <row r="273" spans="1:1" x14ac:dyDescent="0.2">
      <c r="A273"/>
    </row>
  </sheetData>
  <sheetProtection formatColumns="0" formatRows="0" insertColumns="0" insertRows="0"/>
  <mergeCells count="1">
    <mergeCell ref="A1:G1"/>
  </mergeCells>
  <conditionalFormatting sqref="A3:A93">
    <cfRule type="expression" dxfId="8" priority="3">
      <formula>$E3="Out of Stock"</formula>
    </cfRule>
  </conditionalFormatting>
  <conditionalFormatting sqref="B3:B142">
    <cfRule type="expression" dxfId="7" priority="1">
      <formula>"If(F3='Out of Stock')"</formula>
    </cfRule>
  </conditionalFormatting>
  <pageMargins left="0.7" right="0.7" top="0.75" bottom="0.75" header="0.3" footer="0.3"/>
  <pageSetup orientation="landscape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tabColor rgb="FF00B050"/>
  </sheetPr>
  <dimension ref="A1:H1419"/>
  <sheetViews>
    <sheetView zoomScaleNormal="37" workbookViewId="0">
      <pane ySplit="1" topLeftCell="A2" activePane="bottomLeft" state="frozen"/>
      <selection activeCell="B1" sqref="B1"/>
      <selection pane="bottomLeft" activeCell="B3" sqref="B3"/>
    </sheetView>
  </sheetViews>
  <sheetFormatPr baseColWidth="10" defaultColWidth="9.1640625" defaultRowHeight="15" x14ac:dyDescent="0.2"/>
  <cols>
    <col min="1" max="1" width="28.1640625" style="1" customWidth="1"/>
    <col min="2" max="2" width="44.5" style="1" customWidth="1"/>
    <col min="3" max="3" width="39" style="1" customWidth="1"/>
    <col min="4" max="4" width="14.1640625" style="1" customWidth="1"/>
    <col min="5" max="5" width="17.83203125" style="1" customWidth="1"/>
    <col min="6" max="6" width="19.6640625" style="1" bestFit="1" customWidth="1"/>
    <col min="7" max="7" width="21.6640625" style="1" bestFit="1" customWidth="1"/>
    <col min="8" max="8" width="12.33203125" style="1" bestFit="1" customWidth="1"/>
    <col min="9" max="23" width="34" style="1" customWidth="1"/>
    <col min="24" max="16384" width="9.1640625" style="1"/>
  </cols>
  <sheetData>
    <row r="1" spans="1:8" s="12" customFormat="1" ht="61.5" customHeight="1" x14ac:dyDescent="0.2">
      <c r="A1" s="29" t="s">
        <v>0</v>
      </c>
      <c r="B1" s="30"/>
      <c r="C1" s="30"/>
      <c r="D1" s="30"/>
      <c r="E1" s="30"/>
      <c r="F1" s="30"/>
      <c r="G1" s="30"/>
      <c r="H1" s="15"/>
    </row>
    <row r="2" spans="1:8" ht="19" x14ac:dyDescent="0.25">
      <c r="A2" s="6" t="s">
        <v>4</v>
      </c>
      <c r="B2" s="6" t="s">
        <v>3</v>
      </c>
      <c r="C2" s="6" t="s">
        <v>5</v>
      </c>
      <c r="D2" s="6" t="s">
        <v>6</v>
      </c>
      <c r="E2" s="6" t="s">
        <v>7</v>
      </c>
      <c r="F2" s="6" t="s">
        <v>8</v>
      </c>
      <c r="G2" s="6" t="s">
        <v>36</v>
      </c>
      <c r="H2"/>
    </row>
    <row r="3" spans="1:8" ht="19" x14ac:dyDescent="0.25">
      <c r="A3" s="7" t="s">
        <v>21</v>
      </c>
      <c r="B3" s="7" t="s">
        <v>1049</v>
      </c>
      <c r="C3" s="7" t="s">
        <v>1050</v>
      </c>
      <c r="D3" s="7">
        <v>2.1480000000000001</v>
      </c>
      <c r="E3" s="7" t="s">
        <v>7</v>
      </c>
      <c r="F3" s="7" t="s">
        <v>15</v>
      </c>
      <c r="G3" s="7" t="s">
        <v>1051</v>
      </c>
      <c r="H3"/>
    </row>
    <row r="4" spans="1:8" ht="19" x14ac:dyDescent="0.25">
      <c r="A4"/>
      <c r="B4"/>
      <c r="C4"/>
      <c r="D4"/>
      <c r="E4"/>
      <c r="F4"/>
      <c r="G4"/>
      <c r="H4"/>
    </row>
    <row r="5" spans="1:8" ht="19" x14ac:dyDescent="0.25">
      <c r="A5"/>
      <c r="B5"/>
      <c r="C5"/>
      <c r="D5"/>
      <c r="E5"/>
      <c r="F5"/>
      <c r="G5"/>
      <c r="H5"/>
    </row>
    <row r="6" spans="1:8" ht="19" x14ac:dyDescent="0.25">
      <c r="A6"/>
      <c r="B6"/>
      <c r="C6"/>
      <c r="D6"/>
      <c r="E6"/>
      <c r="F6"/>
      <c r="G6"/>
      <c r="H6"/>
    </row>
    <row r="7" spans="1:8" ht="19" x14ac:dyDescent="0.25">
      <c r="A7"/>
      <c r="B7"/>
      <c r="C7"/>
      <c r="D7"/>
      <c r="E7"/>
      <c r="F7"/>
      <c r="G7"/>
      <c r="H7"/>
    </row>
    <row r="8" spans="1:8" ht="19" x14ac:dyDescent="0.25">
      <c r="A8"/>
      <c r="B8"/>
      <c r="C8"/>
      <c r="D8"/>
      <c r="E8"/>
      <c r="F8"/>
      <c r="G8"/>
      <c r="H8"/>
    </row>
    <row r="9" spans="1:8" ht="19" x14ac:dyDescent="0.25">
      <c r="A9"/>
      <c r="B9"/>
      <c r="C9"/>
      <c r="D9"/>
      <c r="E9"/>
      <c r="F9"/>
      <c r="G9"/>
      <c r="H9"/>
    </row>
    <row r="10" spans="1:8" ht="19" x14ac:dyDescent="0.25">
      <c r="A10"/>
      <c r="B10"/>
      <c r="C10"/>
      <c r="D10"/>
      <c r="E10"/>
      <c r="F10"/>
      <c r="G10"/>
      <c r="H10"/>
    </row>
    <row r="11" spans="1:8" ht="19" x14ac:dyDescent="0.25">
      <c r="A11"/>
      <c r="B11"/>
      <c r="C11"/>
      <c r="D11"/>
      <c r="E11"/>
      <c r="F11"/>
      <c r="G11"/>
      <c r="H11"/>
    </row>
    <row r="12" spans="1:8" ht="19" x14ac:dyDescent="0.25">
      <c r="A12"/>
      <c r="B12"/>
      <c r="C12"/>
      <c r="D12"/>
      <c r="E12"/>
      <c r="F12"/>
      <c r="G12"/>
      <c r="H12"/>
    </row>
    <row r="13" spans="1:8" ht="19" x14ac:dyDescent="0.25">
      <c r="A13"/>
      <c r="B13"/>
      <c r="C13"/>
      <c r="D13"/>
      <c r="E13"/>
      <c r="F13"/>
      <c r="G13"/>
      <c r="H13"/>
    </row>
    <row r="14" spans="1:8" ht="19" x14ac:dyDescent="0.25">
      <c r="A14"/>
      <c r="B14"/>
      <c r="C14"/>
      <c r="D14"/>
      <c r="E14"/>
      <c r="F14"/>
      <c r="G14"/>
      <c r="H14"/>
    </row>
    <row r="15" spans="1:8" ht="19" x14ac:dyDescent="0.25">
      <c r="A15"/>
      <c r="B15"/>
      <c r="C15"/>
      <c r="D15"/>
      <c r="E15"/>
      <c r="F15"/>
      <c r="G15"/>
      <c r="H15"/>
    </row>
    <row r="16" spans="1:8" ht="19" x14ac:dyDescent="0.25">
      <c r="A16"/>
      <c r="B16"/>
      <c r="C16"/>
      <c r="D16"/>
      <c r="E16"/>
      <c r="F16"/>
      <c r="G16"/>
      <c r="H16"/>
    </row>
    <row r="17" spans="1:8" ht="19" x14ac:dyDescent="0.25">
      <c r="A17"/>
      <c r="B17"/>
      <c r="C17"/>
      <c r="D17"/>
      <c r="E17"/>
      <c r="F17"/>
      <c r="G17"/>
      <c r="H17"/>
    </row>
    <row r="18" spans="1:8" ht="19" x14ac:dyDescent="0.25">
      <c r="A18"/>
      <c r="B18"/>
      <c r="C18"/>
      <c r="D18"/>
      <c r="E18"/>
      <c r="F18"/>
      <c r="G18"/>
      <c r="H18"/>
    </row>
    <row r="19" spans="1:8" ht="19" x14ac:dyDescent="0.25">
      <c r="A19"/>
      <c r="B19"/>
      <c r="C19"/>
      <c r="D19"/>
      <c r="E19"/>
      <c r="F19"/>
      <c r="G19"/>
      <c r="H19"/>
    </row>
    <row r="20" spans="1:8" ht="19" x14ac:dyDescent="0.25">
      <c r="A20"/>
      <c r="B20"/>
      <c r="C20"/>
      <c r="D20"/>
      <c r="E20"/>
      <c r="F20"/>
      <c r="G20"/>
      <c r="H20"/>
    </row>
    <row r="21" spans="1:8" ht="19" x14ac:dyDescent="0.25">
      <c r="A21"/>
      <c r="B21"/>
      <c r="C21"/>
      <c r="D21"/>
      <c r="E21"/>
      <c r="F21"/>
      <c r="G21"/>
      <c r="H21"/>
    </row>
    <row r="22" spans="1:8" ht="19" x14ac:dyDescent="0.25">
      <c r="A22"/>
      <c r="B22"/>
      <c r="C22"/>
      <c r="D22"/>
      <c r="E22"/>
      <c r="F22"/>
      <c r="G22"/>
      <c r="H22"/>
    </row>
    <row r="23" spans="1:8" ht="19" x14ac:dyDescent="0.25">
      <c r="A23"/>
      <c r="B23"/>
      <c r="C23"/>
      <c r="D23"/>
      <c r="E23"/>
      <c r="F23"/>
      <c r="G23"/>
      <c r="H23"/>
    </row>
    <row r="24" spans="1:8" ht="19" x14ac:dyDescent="0.25">
      <c r="A24"/>
      <c r="B24"/>
      <c r="C24"/>
      <c r="D24"/>
      <c r="E24"/>
      <c r="F24"/>
      <c r="G24"/>
      <c r="H24"/>
    </row>
    <row r="25" spans="1:8" ht="19" x14ac:dyDescent="0.25">
      <c r="A25"/>
      <c r="B25"/>
      <c r="C25"/>
      <c r="D25"/>
      <c r="E25"/>
      <c r="F25"/>
      <c r="G25"/>
      <c r="H25"/>
    </row>
    <row r="26" spans="1:8" ht="19" x14ac:dyDescent="0.25">
      <c r="A26"/>
      <c r="B26"/>
      <c r="C26"/>
      <c r="D26"/>
      <c r="E26"/>
      <c r="F26"/>
      <c r="G26"/>
      <c r="H26"/>
    </row>
    <row r="27" spans="1:8" ht="19" x14ac:dyDescent="0.25">
      <c r="A27"/>
      <c r="B27"/>
      <c r="C27"/>
      <c r="D27"/>
      <c r="E27"/>
      <c r="F27"/>
      <c r="G27"/>
      <c r="H27"/>
    </row>
    <row r="28" spans="1:8" ht="19" x14ac:dyDescent="0.25">
      <c r="A28"/>
      <c r="B28"/>
      <c r="C28"/>
      <c r="D28"/>
      <c r="E28"/>
      <c r="F28"/>
      <c r="G28"/>
      <c r="H28"/>
    </row>
    <row r="29" spans="1:8" ht="19" x14ac:dyDescent="0.25">
      <c r="A29"/>
      <c r="B29"/>
      <c r="C29"/>
      <c r="D29"/>
      <c r="E29"/>
      <c r="F29"/>
      <c r="G29"/>
      <c r="H29"/>
    </row>
    <row r="30" spans="1:8" ht="19" x14ac:dyDescent="0.25">
      <c r="A30"/>
      <c r="B30"/>
      <c r="C30"/>
      <c r="D30"/>
      <c r="E30"/>
      <c r="F30"/>
      <c r="G30"/>
      <c r="H30"/>
    </row>
    <row r="31" spans="1:8" ht="19" x14ac:dyDescent="0.25">
      <c r="A31"/>
      <c r="B31"/>
      <c r="C31"/>
      <c r="D31"/>
      <c r="E31"/>
      <c r="F31"/>
      <c r="G31"/>
      <c r="H31"/>
    </row>
    <row r="32" spans="1:8" ht="19" x14ac:dyDescent="0.25">
      <c r="A32"/>
      <c r="B32"/>
      <c r="C32"/>
      <c r="D32"/>
      <c r="E32"/>
      <c r="F32"/>
      <c r="G32"/>
      <c r="H32"/>
    </row>
    <row r="33" spans="1:8" ht="19" x14ac:dyDescent="0.25">
      <c r="A33"/>
      <c r="B33"/>
      <c r="C33"/>
      <c r="D33"/>
      <c r="E33"/>
      <c r="F33"/>
      <c r="G33"/>
      <c r="H33"/>
    </row>
    <row r="34" spans="1:8" ht="19" x14ac:dyDescent="0.25">
      <c r="A34"/>
      <c r="B34"/>
      <c r="C34"/>
      <c r="D34"/>
      <c r="E34"/>
      <c r="F34"/>
      <c r="G34"/>
      <c r="H34"/>
    </row>
    <row r="35" spans="1:8" ht="19" x14ac:dyDescent="0.25">
      <c r="A35"/>
      <c r="B35"/>
      <c r="C35"/>
      <c r="D35"/>
      <c r="E35"/>
      <c r="F35"/>
      <c r="G35"/>
      <c r="H35"/>
    </row>
    <row r="36" spans="1:8" ht="19" x14ac:dyDescent="0.25">
      <c r="A36"/>
      <c r="B36"/>
      <c r="C36"/>
      <c r="D36"/>
      <c r="E36"/>
      <c r="F36"/>
      <c r="G36"/>
      <c r="H36"/>
    </row>
    <row r="37" spans="1:8" ht="19" x14ac:dyDescent="0.25">
      <c r="A37"/>
      <c r="B37"/>
      <c r="C37"/>
      <c r="D37"/>
      <c r="E37"/>
      <c r="F37"/>
      <c r="G37"/>
      <c r="H37"/>
    </row>
    <row r="38" spans="1:8" ht="19" x14ac:dyDescent="0.25">
      <c r="A38"/>
      <c r="B38"/>
      <c r="C38"/>
      <c r="D38"/>
      <c r="E38"/>
      <c r="F38"/>
      <c r="G38"/>
      <c r="H38"/>
    </row>
    <row r="39" spans="1:8" ht="19" x14ac:dyDescent="0.25">
      <c r="A39"/>
      <c r="B39"/>
      <c r="C39"/>
      <c r="D39"/>
      <c r="E39"/>
      <c r="F39"/>
      <c r="G39"/>
      <c r="H39"/>
    </row>
    <row r="40" spans="1:8" ht="19" x14ac:dyDescent="0.25">
      <c r="A40"/>
      <c r="B40"/>
      <c r="C40"/>
      <c r="D40"/>
      <c r="E40"/>
      <c r="F40"/>
      <c r="G40"/>
      <c r="H40"/>
    </row>
    <row r="41" spans="1:8" ht="19" x14ac:dyDescent="0.25">
      <c r="A41"/>
      <c r="B41"/>
      <c r="C41"/>
      <c r="D41"/>
      <c r="E41"/>
      <c r="F41"/>
      <c r="G41"/>
      <c r="H41"/>
    </row>
    <row r="42" spans="1:8" ht="19" x14ac:dyDescent="0.25">
      <c r="A42"/>
      <c r="B42"/>
      <c r="C42"/>
      <c r="D42"/>
      <c r="E42"/>
      <c r="F42"/>
      <c r="G42"/>
      <c r="H42"/>
    </row>
    <row r="43" spans="1:8" ht="19" x14ac:dyDescent="0.25">
      <c r="A43"/>
      <c r="B43"/>
      <c r="C43"/>
      <c r="D43"/>
      <c r="E43"/>
      <c r="F43"/>
      <c r="G43"/>
      <c r="H43"/>
    </row>
    <row r="44" spans="1:8" ht="19" x14ac:dyDescent="0.25">
      <c r="A44"/>
      <c r="B44"/>
      <c r="C44"/>
      <c r="D44"/>
      <c r="E44"/>
      <c r="F44"/>
      <c r="G44"/>
      <c r="H44"/>
    </row>
    <row r="45" spans="1:8" ht="19" x14ac:dyDescent="0.25">
      <c r="A45"/>
      <c r="B45"/>
      <c r="C45"/>
      <c r="D45"/>
      <c r="E45"/>
      <c r="F45"/>
      <c r="G45"/>
      <c r="H45"/>
    </row>
    <row r="46" spans="1:8" ht="19" x14ac:dyDescent="0.25">
      <c r="A46"/>
      <c r="B46"/>
      <c r="C46"/>
      <c r="D46"/>
      <c r="E46"/>
      <c r="F46"/>
      <c r="G46"/>
      <c r="H46"/>
    </row>
    <row r="47" spans="1:8" ht="19" x14ac:dyDescent="0.25">
      <c r="A47"/>
      <c r="B47"/>
      <c r="C47"/>
      <c r="D47"/>
      <c r="E47"/>
      <c r="F47"/>
      <c r="G47"/>
      <c r="H47"/>
    </row>
    <row r="48" spans="1:8" ht="19" x14ac:dyDescent="0.25">
      <c r="A48"/>
      <c r="B48"/>
      <c r="C48"/>
      <c r="D48"/>
      <c r="E48"/>
      <c r="F48"/>
      <c r="G48"/>
      <c r="H48"/>
    </row>
    <row r="49" spans="1:8" ht="19" x14ac:dyDescent="0.25">
      <c r="A49"/>
      <c r="B49"/>
      <c r="C49"/>
      <c r="D49"/>
      <c r="E49"/>
      <c r="F49"/>
      <c r="G49"/>
      <c r="H49"/>
    </row>
    <row r="50" spans="1:8" ht="19" x14ac:dyDescent="0.25">
      <c r="A50"/>
      <c r="B50"/>
      <c r="C50"/>
      <c r="D50"/>
      <c r="E50"/>
      <c r="F50"/>
      <c r="G50"/>
      <c r="H50"/>
    </row>
    <row r="51" spans="1:8" ht="19" x14ac:dyDescent="0.25">
      <c r="A51"/>
      <c r="B51"/>
      <c r="C51"/>
      <c r="D51"/>
      <c r="E51"/>
      <c r="F51"/>
      <c r="G51"/>
      <c r="H51"/>
    </row>
    <row r="52" spans="1:8" ht="19" x14ac:dyDescent="0.25">
      <c r="A52"/>
      <c r="B52"/>
      <c r="C52"/>
      <c r="D52"/>
      <c r="E52"/>
      <c r="F52"/>
      <c r="G52"/>
      <c r="H52"/>
    </row>
    <row r="53" spans="1:8" ht="19" x14ac:dyDescent="0.25">
      <c r="A53"/>
      <c r="B53"/>
      <c r="C53"/>
      <c r="D53"/>
      <c r="E53"/>
      <c r="F53"/>
      <c r="G53"/>
      <c r="H53"/>
    </row>
    <row r="54" spans="1:8" ht="19" x14ac:dyDescent="0.25">
      <c r="A54"/>
      <c r="B54"/>
      <c r="C54"/>
      <c r="D54"/>
      <c r="E54"/>
      <c r="F54"/>
      <c r="G54"/>
      <c r="H54"/>
    </row>
    <row r="55" spans="1:8" ht="19" x14ac:dyDescent="0.25">
      <c r="A55"/>
      <c r="B55"/>
      <c r="C55"/>
      <c r="D55"/>
      <c r="E55"/>
      <c r="F55"/>
      <c r="G55"/>
      <c r="H55"/>
    </row>
    <row r="56" spans="1:8" ht="19" x14ac:dyDescent="0.25">
      <c r="A56"/>
      <c r="B56"/>
      <c r="C56"/>
      <c r="D56"/>
      <c r="E56"/>
      <c r="F56"/>
      <c r="G56"/>
      <c r="H56"/>
    </row>
    <row r="57" spans="1:8" ht="19" x14ac:dyDescent="0.25">
      <c r="A57"/>
      <c r="B57"/>
      <c r="C57"/>
      <c r="D57"/>
      <c r="E57"/>
      <c r="F57"/>
      <c r="G57"/>
      <c r="H57"/>
    </row>
    <row r="58" spans="1:8" ht="19" x14ac:dyDescent="0.25">
      <c r="A58"/>
      <c r="B58"/>
      <c r="C58"/>
      <c r="D58"/>
      <c r="E58"/>
      <c r="F58"/>
      <c r="G58"/>
      <c r="H58"/>
    </row>
    <row r="59" spans="1:8" ht="19" x14ac:dyDescent="0.25">
      <c r="A59"/>
      <c r="B59"/>
      <c r="C59"/>
      <c r="D59"/>
      <c r="E59"/>
      <c r="F59"/>
      <c r="G59"/>
      <c r="H59"/>
    </row>
    <row r="60" spans="1:8" ht="19" x14ac:dyDescent="0.25">
      <c r="A60"/>
      <c r="B60"/>
      <c r="C60"/>
      <c r="D60"/>
      <c r="E60"/>
      <c r="F60"/>
      <c r="G60"/>
      <c r="H60"/>
    </row>
    <row r="61" spans="1:8" ht="19" x14ac:dyDescent="0.25">
      <c r="A61"/>
      <c r="B61"/>
      <c r="C61"/>
      <c r="D61"/>
      <c r="E61"/>
      <c r="F61"/>
      <c r="G61"/>
      <c r="H61"/>
    </row>
    <row r="62" spans="1:8" ht="19" x14ac:dyDescent="0.25">
      <c r="A62"/>
      <c r="B62"/>
      <c r="C62"/>
      <c r="D62"/>
      <c r="E62"/>
      <c r="F62"/>
      <c r="G62"/>
      <c r="H62"/>
    </row>
    <row r="63" spans="1:8" ht="19" x14ac:dyDescent="0.25">
      <c r="A63"/>
      <c r="B63"/>
      <c r="C63"/>
      <c r="D63"/>
      <c r="E63"/>
      <c r="F63"/>
      <c r="G63"/>
      <c r="H63"/>
    </row>
    <row r="64" spans="1:8" ht="19" x14ac:dyDescent="0.25">
      <c r="A64"/>
      <c r="B64"/>
      <c r="C64"/>
      <c r="D64"/>
      <c r="E64"/>
      <c r="F64"/>
      <c r="G64"/>
      <c r="H64"/>
    </row>
    <row r="65" spans="1:8" ht="19" x14ac:dyDescent="0.25">
      <c r="A65"/>
      <c r="B65"/>
      <c r="C65"/>
      <c r="D65"/>
      <c r="E65"/>
      <c r="F65"/>
      <c r="G65"/>
      <c r="H65"/>
    </row>
    <row r="66" spans="1:8" ht="19" x14ac:dyDescent="0.25">
      <c r="A66"/>
      <c r="B66"/>
      <c r="C66"/>
      <c r="D66"/>
      <c r="E66"/>
      <c r="F66"/>
      <c r="G66"/>
      <c r="H66"/>
    </row>
    <row r="67" spans="1:8" ht="19" x14ac:dyDescent="0.25">
      <c r="A67"/>
      <c r="B67"/>
      <c r="C67"/>
      <c r="D67"/>
      <c r="E67"/>
      <c r="F67"/>
      <c r="G67"/>
      <c r="H67"/>
    </row>
    <row r="68" spans="1:8" ht="19" x14ac:dyDescent="0.25">
      <c r="A68"/>
      <c r="B68"/>
      <c r="C68"/>
      <c r="D68"/>
      <c r="E68"/>
      <c r="F68"/>
      <c r="G68"/>
      <c r="H68"/>
    </row>
    <row r="69" spans="1:8" ht="19" x14ac:dyDescent="0.25">
      <c r="A69"/>
      <c r="B69"/>
      <c r="C69"/>
      <c r="D69"/>
      <c r="E69"/>
      <c r="F69"/>
      <c r="G69"/>
      <c r="H69"/>
    </row>
    <row r="70" spans="1:8" ht="19" x14ac:dyDescent="0.25">
      <c r="A70"/>
      <c r="B70"/>
      <c r="C70"/>
      <c r="D70"/>
      <c r="E70"/>
      <c r="F70"/>
      <c r="G70"/>
      <c r="H70"/>
    </row>
    <row r="71" spans="1:8" ht="19" x14ac:dyDescent="0.25">
      <c r="A71"/>
      <c r="B71"/>
      <c r="C71"/>
      <c r="D71"/>
      <c r="E71"/>
      <c r="F71"/>
      <c r="G71"/>
      <c r="H71"/>
    </row>
    <row r="72" spans="1:8" ht="19" x14ac:dyDescent="0.25">
      <c r="A72"/>
      <c r="B72"/>
      <c r="C72"/>
      <c r="D72"/>
      <c r="E72"/>
      <c r="F72"/>
      <c r="G72"/>
      <c r="H72"/>
    </row>
    <row r="73" spans="1:8" ht="19" x14ac:dyDescent="0.25">
      <c r="A73"/>
      <c r="B73"/>
      <c r="C73"/>
      <c r="D73"/>
      <c r="E73"/>
      <c r="F73"/>
      <c r="G73"/>
      <c r="H73"/>
    </row>
    <row r="74" spans="1:8" ht="19" x14ac:dyDescent="0.25">
      <c r="A74"/>
      <c r="B74"/>
      <c r="C74"/>
      <c r="D74"/>
      <c r="E74"/>
      <c r="F74"/>
      <c r="G74"/>
      <c r="H74"/>
    </row>
    <row r="75" spans="1:8" ht="19" x14ac:dyDescent="0.25">
      <c r="A75"/>
      <c r="B75"/>
      <c r="C75"/>
      <c r="D75"/>
      <c r="E75"/>
      <c r="F75"/>
      <c r="G75"/>
      <c r="H75"/>
    </row>
    <row r="76" spans="1:8" ht="19" x14ac:dyDescent="0.25">
      <c r="A76"/>
      <c r="B76"/>
      <c r="C76"/>
      <c r="D76"/>
      <c r="E76"/>
      <c r="F76"/>
      <c r="G76"/>
      <c r="H76"/>
    </row>
    <row r="77" spans="1:8" ht="19" x14ac:dyDescent="0.25">
      <c r="A77"/>
      <c r="B77"/>
      <c r="C77"/>
      <c r="D77"/>
      <c r="E77"/>
      <c r="F77"/>
      <c r="G77"/>
      <c r="H77"/>
    </row>
    <row r="78" spans="1:8" ht="19" x14ac:dyDescent="0.25">
      <c r="A78"/>
      <c r="B78"/>
      <c r="C78"/>
      <c r="D78"/>
      <c r="E78"/>
      <c r="F78"/>
      <c r="G78"/>
      <c r="H78"/>
    </row>
    <row r="79" spans="1:8" ht="19" x14ac:dyDescent="0.25">
      <c r="A79"/>
      <c r="B79"/>
      <c r="C79"/>
      <c r="D79"/>
      <c r="E79"/>
      <c r="F79"/>
      <c r="G79"/>
      <c r="H79"/>
    </row>
    <row r="80" spans="1:8" ht="19" x14ac:dyDescent="0.25">
      <c r="A80"/>
      <c r="B80"/>
      <c r="C80"/>
      <c r="D80"/>
      <c r="E80"/>
      <c r="F80"/>
      <c r="G80"/>
      <c r="H80"/>
    </row>
    <row r="81" spans="1:8" ht="19" x14ac:dyDescent="0.25">
      <c r="A81"/>
      <c r="B81"/>
      <c r="C81"/>
      <c r="D81"/>
      <c r="E81"/>
      <c r="F81"/>
      <c r="G81"/>
      <c r="H81"/>
    </row>
    <row r="82" spans="1:8" ht="19" x14ac:dyDescent="0.25">
      <c r="A82"/>
      <c r="B82"/>
      <c r="C82"/>
      <c r="D82"/>
      <c r="E82"/>
      <c r="F82"/>
      <c r="G82"/>
      <c r="H82"/>
    </row>
    <row r="83" spans="1:8" ht="19" x14ac:dyDescent="0.25">
      <c r="A83"/>
      <c r="B83"/>
      <c r="C83"/>
      <c r="D83"/>
      <c r="E83"/>
      <c r="F83"/>
      <c r="G83"/>
      <c r="H83"/>
    </row>
    <row r="84" spans="1:8" ht="19" x14ac:dyDescent="0.25">
      <c r="A84"/>
      <c r="B84"/>
      <c r="C84"/>
      <c r="D84"/>
      <c r="E84"/>
      <c r="F84"/>
      <c r="G84"/>
      <c r="H84"/>
    </row>
    <row r="85" spans="1:8" ht="19" x14ac:dyDescent="0.25">
      <c r="A85"/>
      <c r="B85"/>
      <c r="C85"/>
      <c r="D85"/>
      <c r="E85"/>
      <c r="F85"/>
      <c r="G85"/>
      <c r="H85"/>
    </row>
    <row r="86" spans="1:8" ht="19" x14ac:dyDescent="0.25">
      <c r="A86"/>
      <c r="B86"/>
      <c r="C86"/>
      <c r="D86"/>
      <c r="E86"/>
      <c r="F86"/>
      <c r="G86"/>
      <c r="H86"/>
    </row>
    <row r="87" spans="1:8" ht="19" x14ac:dyDescent="0.25">
      <c r="A87"/>
      <c r="B87"/>
      <c r="C87"/>
      <c r="D87"/>
      <c r="E87"/>
      <c r="F87"/>
      <c r="G87"/>
      <c r="H87"/>
    </row>
    <row r="88" spans="1:8" ht="19" x14ac:dyDescent="0.25">
      <c r="A88"/>
      <c r="B88"/>
      <c r="C88"/>
      <c r="D88"/>
      <c r="E88"/>
      <c r="F88"/>
      <c r="G88"/>
      <c r="H88"/>
    </row>
    <row r="89" spans="1:8" ht="19" x14ac:dyDescent="0.25">
      <c r="A89"/>
      <c r="B89"/>
      <c r="C89"/>
      <c r="D89"/>
      <c r="E89"/>
      <c r="F89"/>
      <c r="G89"/>
      <c r="H89"/>
    </row>
    <row r="90" spans="1:8" ht="19" x14ac:dyDescent="0.25">
      <c r="A90"/>
      <c r="B90"/>
      <c r="C90"/>
      <c r="D90"/>
      <c r="E90"/>
      <c r="F90"/>
      <c r="G90"/>
      <c r="H90"/>
    </row>
    <row r="91" spans="1:8" ht="19" x14ac:dyDescent="0.25">
      <c r="A91"/>
      <c r="B91"/>
      <c r="C91"/>
      <c r="D91"/>
      <c r="E91"/>
      <c r="F91"/>
      <c r="G91"/>
      <c r="H91"/>
    </row>
    <row r="92" spans="1:8" ht="19" x14ac:dyDescent="0.25">
      <c r="A92"/>
      <c r="B92"/>
      <c r="C92"/>
      <c r="D92"/>
      <c r="E92"/>
      <c r="F92"/>
      <c r="G92"/>
      <c r="H92"/>
    </row>
    <row r="93" spans="1:8" ht="19" x14ac:dyDescent="0.25">
      <c r="A93"/>
      <c r="B93"/>
      <c r="C93"/>
      <c r="D93"/>
      <c r="E93"/>
      <c r="F93"/>
      <c r="G93"/>
      <c r="H93"/>
    </row>
    <row r="94" spans="1:8" ht="19" x14ac:dyDescent="0.25">
      <c r="A94"/>
      <c r="B94"/>
      <c r="C94"/>
      <c r="D94"/>
      <c r="E94"/>
      <c r="F94"/>
      <c r="G94"/>
      <c r="H94"/>
    </row>
    <row r="95" spans="1:8" ht="19" x14ac:dyDescent="0.25">
      <c r="A95"/>
      <c r="B95"/>
      <c r="C95"/>
      <c r="D95"/>
      <c r="E95"/>
      <c r="F95"/>
      <c r="G95"/>
      <c r="H95"/>
    </row>
    <row r="96" spans="1:8" ht="19" x14ac:dyDescent="0.25">
      <c r="A96"/>
      <c r="B96"/>
      <c r="C96"/>
      <c r="D96"/>
      <c r="E96"/>
      <c r="F96"/>
      <c r="G96"/>
      <c r="H96"/>
    </row>
    <row r="97" spans="1:8" ht="19" x14ac:dyDescent="0.25">
      <c r="A97"/>
      <c r="B97"/>
      <c r="C97"/>
      <c r="D97"/>
      <c r="E97"/>
      <c r="F97"/>
      <c r="G97"/>
      <c r="H97"/>
    </row>
    <row r="98" spans="1:8" ht="19" x14ac:dyDescent="0.25">
      <c r="A98"/>
      <c r="B98"/>
      <c r="C98"/>
      <c r="D98"/>
      <c r="E98"/>
      <c r="F98"/>
      <c r="G98"/>
      <c r="H98"/>
    </row>
    <row r="99" spans="1:8" ht="19" x14ac:dyDescent="0.25">
      <c r="A99"/>
      <c r="B99"/>
      <c r="C99"/>
      <c r="D99"/>
      <c r="E99"/>
      <c r="F99"/>
      <c r="G99"/>
      <c r="H99"/>
    </row>
    <row r="100" spans="1:8" ht="19" x14ac:dyDescent="0.25">
      <c r="A100"/>
      <c r="B100"/>
      <c r="C100"/>
      <c r="D100"/>
      <c r="E100"/>
      <c r="F100"/>
      <c r="G100"/>
      <c r="H100"/>
    </row>
    <row r="101" spans="1:8" ht="19" x14ac:dyDescent="0.25">
      <c r="A101"/>
      <c r="B101"/>
      <c r="C101"/>
      <c r="D101"/>
      <c r="E101"/>
      <c r="F101"/>
      <c r="G101"/>
      <c r="H101"/>
    </row>
    <row r="102" spans="1:8" ht="19" x14ac:dyDescent="0.25">
      <c r="A102"/>
      <c r="B102"/>
      <c r="C102"/>
      <c r="D102"/>
      <c r="E102"/>
      <c r="F102"/>
      <c r="G102"/>
      <c r="H102"/>
    </row>
    <row r="103" spans="1:8" ht="19" x14ac:dyDescent="0.25">
      <c r="A103"/>
      <c r="B103"/>
      <c r="C103"/>
      <c r="D103"/>
      <c r="E103"/>
      <c r="F103"/>
      <c r="G103"/>
      <c r="H103"/>
    </row>
    <row r="104" spans="1:8" ht="19" x14ac:dyDescent="0.25">
      <c r="A104"/>
      <c r="B104"/>
      <c r="C104"/>
      <c r="D104"/>
      <c r="E104"/>
      <c r="F104"/>
      <c r="G104"/>
      <c r="H104"/>
    </row>
    <row r="105" spans="1:8" ht="19" x14ac:dyDescent="0.25">
      <c r="A105"/>
      <c r="B105"/>
      <c r="C105"/>
      <c r="D105"/>
      <c r="E105"/>
      <c r="F105"/>
      <c r="G105"/>
      <c r="H105"/>
    </row>
    <row r="106" spans="1:8" ht="19" x14ac:dyDescent="0.25">
      <c r="A106"/>
      <c r="B106"/>
      <c r="C106"/>
      <c r="D106"/>
      <c r="E106"/>
      <c r="F106"/>
      <c r="G106"/>
      <c r="H106"/>
    </row>
    <row r="107" spans="1:8" ht="19" x14ac:dyDescent="0.25">
      <c r="A107"/>
      <c r="B107"/>
      <c r="C107"/>
      <c r="D107"/>
      <c r="E107"/>
      <c r="F107"/>
      <c r="G107"/>
      <c r="H107"/>
    </row>
    <row r="108" spans="1:8" ht="19" x14ac:dyDescent="0.25">
      <c r="A108"/>
      <c r="B108"/>
      <c r="C108"/>
      <c r="D108"/>
      <c r="E108"/>
      <c r="F108"/>
      <c r="G108"/>
      <c r="H108"/>
    </row>
    <row r="109" spans="1:8" ht="19" x14ac:dyDescent="0.25">
      <c r="A109"/>
      <c r="B109"/>
      <c r="C109"/>
      <c r="D109"/>
      <c r="E109"/>
      <c r="F109"/>
      <c r="G109"/>
      <c r="H109"/>
    </row>
    <row r="110" spans="1:8" ht="19" x14ac:dyDescent="0.25">
      <c r="A110"/>
      <c r="B110"/>
      <c r="C110"/>
      <c r="D110"/>
      <c r="E110"/>
      <c r="F110"/>
      <c r="G110"/>
      <c r="H110"/>
    </row>
    <row r="111" spans="1:8" ht="19" x14ac:dyDescent="0.25">
      <c r="A111"/>
      <c r="B111"/>
      <c r="C111"/>
      <c r="D111"/>
      <c r="E111"/>
      <c r="F111"/>
      <c r="G111"/>
      <c r="H111"/>
    </row>
    <row r="112" spans="1:8" ht="19" x14ac:dyDescent="0.25">
      <c r="A112"/>
      <c r="B112"/>
      <c r="C112"/>
      <c r="D112"/>
      <c r="E112"/>
      <c r="F112"/>
      <c r="G112"/>
      <c r="H112"/>
    </row>
    <row r="113" spans="1:8" ht="19" x14ac:dyDescent="0.25">
      <c r="A113"/>
      <c r="B113"/>
      <c r="C113"/>
      <c r="D113"/>
      <c r="E113"/>
      <c r="F113"/>
      <c r="G113"/>
      <c r="H113"/>
    </row>
    <row r="114" spans="1:8" ht="19" x14ac:dyDescent="0.25">
      <c r="A114"/>
      <c r="B114"/>
      <c r="C114"/>
      <c r="D114"/>
      <c r="E114"/>
      <c r="F114"/>
      <c r="G114"/>
      <c r="H114"/>
    </row>
    <row r="115" spans="1:8" ht="19" x14ac:dyDescent="0.25">
      <c r="A115"/>
      <c r="B115"/>
      <c r="C115"/>
      <c r="D115"/>
      <c r="E115"/>
      <c r="F115"/>
      <c r="G115"/>
      <c r="H115"/>
    </row>
    <row r="116" spans="1:8" ht="19" x14ac:dyDescent="0.25">
      <c r="A116"/>
      <c r="B116"/>
      <c r="C116"/>
      <c r="D116"/>
      <c r="E116"/>
      <c r="F116"/>
      <c r="G116"/>
      <c r="H116"/>
    </row>
    <row r="117" spans="1:8" ht="19" x14ac:dyDescent="0.25">
      <c r="A117"/>
      <c r="B117"/>
      <c r="C117"/>
      <c r="D117"/>
      <c r="E117"/>
      <c r="F117"/>
      <c r="G117"/>
      <c r="H117"/>
    </row>
    <row r="118" spans="1:8" ht="19" x14ac:dyDescent="0.25">
      <c r="A118"/>
      <c r="B118"/>
      <c r="C118"/>
      <c r="D118"/>
      <c r="E118"/>
      <c r="F118"/>
      <c r="G118"/>
      <c r="H118"/>
    </row>
    <row r="119" spans="1:8" ht="19" x14ac:dyDescent="0.25">
      <c r="A119"/>
      <c r="B119"/>
      <c r="C119"/>
      <c r="D119"/>
      <c r="E119"/>
      <c r="F119"/>
      <c r="G119"/>
      <c r="H119"/>
    </row>
    <row r="120" spans="1:8" ht="19" x14ac:dyDescent="0.25">
      <c r="A120"/>
      <c r="B120"/>
      <c r="C120"/>
      <c r="D120"/>
      <c r="E120"/>
      <c r="F120"/>
      <c r="G120"/>
      <c r="H120"/>
    </row>
    <row r="121" spans="1:8" ht="19" x14ac:dyDescent="0.25">
      <c r="A121"/>
      <c r="B121"/>
      <c r="C121"/>
      <c r="D121"/>
      <c r="E121"/>
      <c r="F121"/>
      <c r="G121"/>
      <c r="H121"/>
    </row>
    <row r="122" spans="1:8" ht="19" x14ac:dyDescent="0.25">
      <c r="A122"/>
      <c r="B122"/>
      <c r="C122"/>
      <c r="D122"/>
      <c r="E122"/>
      <c r="F122"/>
      <c r="G122"/>
      <c r="H122"/>
    </row>
    <row r="123" spans="1:8" ht="19" x14ac:dyDescent="0.25">
      <c r="A123"/>
      <c r="B123"/>
      <c r="C123"/>
      <c r="D123"/>
      <c r="E123"/>
      <c r="F123"/>
      <c r="G123"/>
      <c r="H123"/>
    </row>
    <row r="124" spans="1:8" ht="19" x14ac:dyDescent="0.25">
      <c r="A124"/>
      <c r="B124"/>
      <c r="C124"/>
      <c r="D124"/>
      <c r="E124"/>
      <c r="F124"/>
      <c r="G124"/>
      <c r="H124"/>
    </row>
    <row r="125" spans="1:8" ht="19" x14ac:dyDescent="0.25">
      <c r="A125"/>
      <c r="B125"/>
      <c r="C125"/>
      <c r="D125"/>
      <c r="E125"/>
      <c r="F125"/>
      <c r="G125"/>
      <c r="H125"/>
    </row>
    <row r="126" spans="1:8" ht="19" x14ac:dyDescent="0.25">
      <c r="A126"/>
      <c r="B126"/>
      <c r="C126"/>
      <c r="D126"/>
      <c r="E126"/>
      <c r="F126"/>
      <c r="G126"/>
      <c r="H126"/>
    </row>
    <row r="127" spans="1:8" ht="19" x14ac:dyDescent="0.25">
      <c r="A127"/>
      <c r="B127"/>
      <c r="C127"/>
      <c r="D127"/>
      <c r="E127"/>
      <c r="F127"/>
      <c r="G127"/>
      <c r="H127"/>
    </row>
    <row r="128" spans="1:8" ht="19" x14ac:dyDescent="0.25">
      <c r="A128"/>
      <c r="B128"/>
      <c r="C128"/>
      <c r="D128"/>
      <c r="E128"/>
      <c r="F128"/>
      <c r="G128"/>
      <c r="H128"/>
    </row>
    <row r="129" spans="1:8" ht="19" x14ac:dyDescent="0.25">
      <c r="A129"/>
      <c r="B129"/>
      <c r="C129"/>
      <c r="D129"/>
      <c r="E129"/>
      <c r="F129"/>
      <c r="G129"/>
      <c r="H129"/>
    </row>
    <row r="130" spans="1:8" ht="19" x14ac:dyDescent="0.25">
      <c r="A130"/>
      <c r="B130"/>
      <c r="C130"/>
      <c r="D130"/>
      <c r="E130"/>
      <c r="F130"/>
      <c r="G130"/>
      <c r="H130"/>
    </row>
    <row r="131" spans="1:8" ht="19" x14ac:dyDescent="0.25">
      <c r="A131"/>
      <c r="B131"/>
      <c r="C131"/>
      <c r="D131"/>
      <c r="E131"/>
      <c r="F131"/>
      <c r="G131"/>
      <c r="H131"/>
    </row>
    <row r="132" spans="1:8" ht="19" x14ac:dyDescent="0.25">
      <c r="A132"/>
      <c r="B132"/>
      <c r="C132"/>
      <c r="D132"/>
      <c r="E132"/>
      <c r="F132"/>
      <c r="G132"/>
      <c r="H132"/>
    </row>
    <row r="133" spans="1:8" ht="19" x14ac:dyDescent="0.25">
      <c r="A133"/>
      <c r="B133"/>
      <c r="C133"/>
      <c r="D133"/>
      <c r="E133"/>
      <c r="F133"/>
      <c r="G133"/>
      <c r="H133"/>
    </row>
    <row r="134" spans="1:8" ht="19" x14ac:dyDescent="0.25">
      <c r="A134"/>
      <c r="B134"/>
      <c r="C134"/>
      <c r="D134"/>
      <c r="E134"/>
      <c r="F134"/>
      <c r="G134"/>
      <c r="H134"/>
    </row>
    <row r="135" spans="1:8" ht="19" x14ac:dyDescent="0.25">
      <c r="A135"/>
      <c r="B135"/>
      <c r="C135"/>
      <c r="D135"/>
      <c r="E135"/>
      <c r="F135"/>
      <c r="G135"/>
      <c r="H135"/>
    </row>
    <row r="136" spans="1:8" ht="19" x14ac:dyDescent="0.25">
      <c r="A136"/>
      <c r="B136"/>
      <c r="C136"/>
      <c r="D136"/>
      <c r="E136"/>
      <c r="F136"/>
      <c r="G136"/>
      <c r="H136"/>
    </row>
    <row r="137" spans="1:8" ht="19" x14ac:dyDescent="0.25">
      <c r="A137"/>
      <c r="B137"/>
      <c r="C137"/>
      <c r="D137"/>
      <c r="E137"/>
      <c r="F137"/>
      <c r="G137"/>
      <c r="H137"/>
    </row>
    <row r="138" spans="1:8" ht="19" x14ac:dyDescent="0.25">
      <c r="A138"/>
      <c r="B138"/>
      <c r="C138"/>
      <c r="D138"/>
      <c r="E138"/>
      <c r="F138"/>
      <c r="G138"/>
      <c r="H138"/>
    </row>
    <row r="139" spans="1:8" ht="19" x14ac:dyDescent="0.25">
      <c r="A139"/>
      <c r="B139"/>
      <c r="C139"/>
      <c r="D139"/>
      <c r="E139"/>
      <c r="F139"/>
      <c r="G139"/>
      <c r="H139"/>
    </row>
    <row r="140" spans="1:8" ht="19" x14ac:dyDescent="0.25">
      <c r="A140"/>
      <c r="B140"/>
      <c r="C140"/>
      <c r="D140"/>
      <c r="E140"/>
      <c r="F140"/>
      <c r="G140"/>
      <c r="H140"/>
    </row>
    <row r="141" spans="1:8" ht="19" x14ac:dyDescent="0.25">
      <c r="A141"/>
      <c r="B141"/>
      <c r="C141"/>
      <c r="D141"/>
      <c r="E141"/>
      <c r="F141"/>
      <c r="G141"/>
      <c r="H141"/>
    </row>
    <row r="142" spans="1:8" ht="19" x14ac:dyDescent="0.25">
      <c r="A142"/>
      <c r="B142"/>
      <c r="C142"/>
      <c r="D142"/>
      <c r="E142"/>
      <c r="F142"/>
      <c r="G142"/>
      <c r="H142"/>
    </row>
    <row r="143" spans="1:8" ht="19" x14ac:dyDescent="0.25">
      <c r="A143"/>
      <c r="B143"/>
      <c r="C143"/>
      <c r="D143"/>
      <c r="E143"/>
      <c r="F143"/>
      <c r="G143"/>
      <c r="H143"/>
    </row>
    <row r="144" spans="1:8" ht="19" x14ac:dyDescent="0.25">
      <c r="A144"/>
      <c r="B144"/>
      <c r="C144"/>
      <c r="D144"/>
      <c r="E144"/>
      <c r="F144"/>
      <c r="G144"/>
      <c r="H144"/>
    </row>
    <row r="145" spans="1:8" ht="19" x14ac:dyDescent="0.25">
      <c r="A145"/>
      <c r="B145"/>
      <c r="C145"/>
      <c r="D145"/>
      <c r="E145"/>
      <c r="F145"/>
      <c r="G145"/>
      <c r="H145"/>
    </row>
    <row r="146" spans="1:8" ht="19" x14ac:dyDescent="0.25">
      <c r="A146"/>
      <c r="B146"/>
      <c r="C146"/>
      <c r="D146"/>
      <c r="E146"/>
      <c r="F146"/>
      <c r="G146"/>
      <c r="H146"/>
    </row>
    <row r="147" spans="1:8" ht="19" x14ac:dyDescent="0.25">
      <c r="A147"/>
      <c r="B147"/>
      <c r="C147"/>
      <c r="D147"/>
      <c r="E147"/>
      <c r="F147"/>
      <c r="G147"/>
      <c r="H147"/>
    </row>
    <row r="148" spans="1:8" ht="19" x14ac:dyDescent="0.25">
      <c r="A148"/>
      <c r="B148"/>
      <c r="C148"/>
      <c r="D148"/>
      <c r="E148"/>
      <c r="F148"/>
      <c r="G148"/>
      <c r="H148"/>
    </row>
    <row r="149" spans="1:8" ht="19" x14ac:dyDescent="0.25">
      <c r="A149"/>
      <c r="B149"/>
      <c r="C149"/>
      <c r="D149"/>
      <c r="E149"/>
      <c r="F149"/>
      <c r="G149"/>
      <c r="H149"/>
    </row>
    <row r="150" spans="1:8" ht="19" x14ac:dyDescent="0.25">
      <c r="A150"/>
      <c r="B150"/>
      <c r="C150"/>
      <c r="D150"/>
      <c r="E150"/>
      <c r="F150"/>
      <c r="G150"/>
      <c r="H150"/>
    </row>
    <row r="151" spans="1:8" ht="19" x14ac:dyDescent="0.25">
      <c r="A151"/>
      <c r="B151"/>
      <c r="C151"/>
      <c r="D151"/>
      <c r="E151"/>
      <c r="F151"/>
      <c r="G151"/>
      <c r="H151"/>
    </row>
    <row r="152" spans="1:8" ht="19" x14ac:dyDescent="0.25">
      <c r="A152"/>
      <c r="B152"/>
      <c r="C152"/>
      <c r="D152"/>
      <c r="E152"/>
      <c r="F152"/>
      <c r="G152"/>
      <c r="H152"/>
    </row>
    <row r="153" spans="1:8" ht="19" x14ac:dyDescent="0.25">
      <c r="A153"/>
      <c r="B153"/>
      <c r="C153"/>
      <c r="D153"/>
      <c r="E153"/>
      <c r="F153"/>
      <c r="G153"/>
      <c r="H153"/>
    </row>
    <row r="154" spans="1:8" ht="19" x14ac:dyDescent="0.25">
      <c r="A154"/>
      <c r="B154"/>
      <c r="C154"/>
      <c r="D154"/>
      <c r="E154"/>
      <c r="F154"/>
      <c r="G154"/>
      <c r="H154"/>
    </row>
    <row r="155" spans="1:8" ht="19" x14ac:dyDescent="0.25">
      <c r="A155"/>
      <c r="B155"/>
      <c r="C155"/>
      <c r="D155"/>
      <c r="E155"/>
      <c r="F155"/>
      <c r="G155"/>
      <c r="H155"/>
    </row>
    <row r="156" spans="1:8" ht="19" x14ac:dyDescent="0.25">
      <c r="A156"/>
      <c r="B156"/>
      <c r="C156"/>
      <c r="D156"/>
      <c r="E156"/>
      <c r="F156"/>
      <c r="G156"/>
      <c r="H156"/>
    </row>
    <row r="157" spans="1:8" ht="19" x14ac:dyDescent="0.25">
      <c r="A157"/>
      <c r="B157"/>
      <c r="C157"/>
      <c r="D157"/>
      <c r="E157"/>
      <c r="F157"/>
      <c r="G157"/>
      <c r="H157"/>
    </row>
    <row r="158" spans="1:8" ht="19" x14ac:dyDescent="0.25">
      <c r="A158"/>
      <c r="B158"/>
      <c r="C158"/>
      <c r="D158"/>
      <c r="E158"/>
      <c r="F158"/>
      <c r="G158"/>
      <c r="H158"/>
    </row>
    <row r="159" spans="1:8" ht="19" x14ac:dyDescent="0.25">
      <c r="A159"/>
      <c r="B159"/>
      <c r="C159"/>
      <c r="D159"/>
      <c r="E159"/>
      <c r="F159"/>
      <c r="G159"/>
      <c r="H159"/>
    </row>
    <row r="160" spans="1:8" ht="19" x14ac:dyDescent="0.25">
      <c r="A160"/>
      <c r="B160"/>
      <c r="C160"/>
      <c r="D160"/>
      <c r="E160"/>
      <c r="F160"/>
      <c r="G160"/>
      <c r="H160"/>
    </row>
    <row r="161" spans="1:8" ht="19" x14ac:dyDescent="0.25">
      <c r="A161"/>
      <c r="B161"/>
      <c r="C161"/>
      <c r="D161"/>
      <c r="E161"/>
      <c r="F161"/>
      <c r="G161"/>
      <c r="H161"/>
    </row>
    <row r="162" spans="1:8" ht="19" x14ac:dyDescent="0.25">
      <c r="A162"/>
      <c r="B162"/>
      <c r="C162"/>
      <c r="D162"/>
      <c r="E162"/>
      <c r="F162"/>
      <c r="G162"/>
      <c r="H162"/>
    </row>
    <row r="163" spans="1:8" ht="19" x14ac:dyDescent="0.25">
      <c r="A163"/>
      <c r="B163"/>
      <c r="C163"/>
      <c r="D163"/>
      <c r="E163"/>
      <c r="F163"/>
      <c r="G163"/>
      <c r="H163"/>
    </row>
    <row r="164" spans="1:8" ht="19" x14ac:dyDescent="0.25">
      <c r="A164"/>
      <c r="B164"/>
      <c r="C164"/>
      <c r="D164"/>
      <c r="E164"/>
      <c r="F164"/>
      <c r="G164"/>
      <c r="H164"/>
    </row>
    <row r="165" spans="1:8" ht="19" x14ac:dyDescent="0.25">
      <c r="A165"/>
      <c r="B165"/>
      <c r="C165"/>
      <c r="D165"/>
      <c r="E165"/>
      <c r="F165"/>
      <c r="G165"/>
      <c r="H165"/>
    </row>
    <row r="166" spans="1:8" ht="19" x14ac:dyDescent="0.25">
      <c r="A166"/>
      <c r="B166"/>
      <c r="C166"/>
      <c r="D166"/>
      <c r="E166"/>
      <c r="F166"/>
      <c r="G166"/>
      <c r="H166"/>
    </row>
    <row r="167" spans="1:8" ht="19" x14ac:dyDescent="0.25">
      <c r="A167"/>
      <c r="B167"/>
      <c r="C167"/>
      <c r="D167"/>
      <c r="E167"/>
      <c r="F167"/>
      <c r="G167"/>
      <c r="H167"/>
    </row>
    <row r="168" spans="1:8" ht="19" x14ac:dyDescent="0.25">
      <c r="A168"/>
      <c r="B168"/>
      <c r="C168"/>
      <c r="D168"/>
      <c r="E168"/>
      <c r="F168"/>
      <c r="G168"/>
      <c r="H168"/>
    </row>
    <row r="169" spans="1:8" ht="19" x14ac:dyDescent="0.25">
      <c r="A169"/>
      <c r="B169"/>
      <c r="C169"/>
      <c r="D169"/>
      <c r="E169"/>
      <c r="F169"/>
      <c r="G169"/>
      <c r="H169"/>
    </row>
    <row r="170" spans="1:8" ht="19" x14ac:dyDescent="0.25">
      <c r="A170"/>
      <c r="B170"/>
      <c r="C170"/>
      <c r="D170"/>
      <c r="E170"/>
      <c r="F170"/>
      <c r="G170"/>
      <c r="H170"/>
    </row>
    <row r="171" spans="1:8" ht="19" x14ac:dyDescent="0.25">
      <c r="A171"/>
      <c r="B171"/>
      <c r="C171"/>
      <c r="D171"/>
      <c r="E171"/>
      <c r="F171"/>
      <c r="G171"/>
      <c r="H171"/>
    </row>
    <row r="172" spans="1:8" ht="19" x14ac:dyDescent="0.25">
      <c r="A172"/>
      <c r="B172"/>
      <c r="C172"/>
      <c r="D172"/>
      <c r="E172"/>
      <c r="F172"/>
      <c r="G172"/>
      <c r="H172"/>
    </row>
    <row r="173" spans="1:8" ht="19" x14ac:dyDescent="0.25">
      <c r="A173"/>
      <c r="B173"/>
      <c r="C173"/>
      <c r="D173"/>
      <c r="E173"/>
      <c r="F173"/>
      <c r="G173"/>
      <c r="H173"/>
    </row>
    <row r="174" spans="1:8" ht="19" x14ac:dyDescent="0.25">
      <c r="A174"/>
      <c r="B174"/>
      <c r="C174"/>
      <c r="D174"/>
      <c r="E174"/>
      <c r="F174"/>
      <c r="G174"/>
      <c r="H174"/>
    </row>
    <row r="175" spans="1:8" ht="19" x14ac:dyDescent="0.25">
      <c r="A175"/>
      <c r="B175"/>
      <c r="C175"/>
      <c r="D175"/>
      <c r="E175"/>
      <c r="F175"/>
      <c r="G175"/>
      <c r="H175"/>
    </row>
    <row r="176" spans="1:8" ht="19" x14ac:dyDescent="0.25">
      <c r="A176"/>
      <c r="B176"/>
      <c r="C176"/>
      <c r="D176"/>
      <c r="E176"/>
      <c r="F176"/>
      <c r="G176"/>
      <c r="H176"/>
    </row>
    <row r="177" spans="1:8" ht="19" x14ac:dyDescent="0.25">
      <c r="A177"/>
      <c r="B177"/>
      <c r="C177"/>
      <c r="D177"/>
      <c r="E177"/>
      <c r="F177"/>
      <c r="G177"/>
      <c r="H177"/>
    </row>
    <row r="178" spans="1:8" ht="19" x14ac:dyDescent="0.25">
      <c r="A178"/>
      <c r="B178"/>
      <c r="C178"/>
      <c r="D178"/>
      <c r="E178"/>
      <c r="F178"/>
      <c r="G178"/>
      <c r="H178"/>
    </row>
    <row r="179" spans="1:8" ht="19" x14ac:dyDescent="0.25">
      <c r="A179"/>
      <c r="B179"/>
      <c r="C179"/>
      <c r="D179"/>
      <c r="E179"/>
      <c r="F179"/>
      <c r="G179"/>
      <c r="H179"/>
    </row>
    <row r="180" spans="1:8" ht="19" x14ac:dyDescent="0.25">
      <c r="A180"/>
      <c r="B180"/>
      <c r="C180"/>
      <c r="D180"/>
      <c r="E180"/>
      <c r="F180"/>
      <c r="G180"/>
      <c r="H180"/>
    </row>
    <row r="181" spans="1:8" ht="19" x14ac:dyDescent="0.25">
      <c r="A181"/>
      <c r="B181"/>
      <c r="C181"/>
      <c r="D181"/>
      <c r="E181"/>
      <c r="F181"/>
      <c r="G181"/>
      <c r="H181"/>
    </row>
    <row r="182" spans="1:8" ht="19" x14ac:dyDescent="0.25">
      <c r="A182"/>
      <c r="B182"/>
      <c r="C182"/>
      <c r="D182"/>
      <c r="E182"/>
      <c r="F182"/>
      <c r="G182"/>
      <c r="H182"/>
    </row>
    <row r="183" spans="1:8" ht="19" x14ac:dyDescent="0.25">
      <c r="A183"/>
      <c r="B183"/>
      <c r="C183"/>
      <c r="D183"/>
      <c r="E183"/>
      <c r="F183"/>
      <c r="G183"/>
      <c r="H183"/>
    </row>
    <row r="184" spans="1:8" ht="19" x14ac:dyDescent="0.25">
      <c r="A184"/>
      <c r="B184"/>
      <c r="C184"/>
      <c r="D184"/>
      <c r="E184"/>
      <c r="F184"/>
      <c r="G184"/>
      <c r="H184"/>
    </row>
    <row r="185" spans="1:8" ht="19" x14ac:dyDescent="0.25">
      <c r="A185"/>
      <c r="B185"/>
      <c r="C185"/>
      <c r="D185"/>
      <c r="E185"/>
      <c r="F185"/>
      <c r="G185"/>
      <c r="H185"/>
    </row>
    <row r="186" spans="1:8" ht="19" x14ac:dyDescent="0.25">
      <c r="A186"/>
      <c r="B186"/>
      <c r="C186"/>
      <c r="D186"/>
      <c r="E186"/>
      <c r="F186"/>
      <c r="G186"/>
      <c r="H186"/>
    </row>
    <row r="187" spans="1:8" ht="19" x14ac:dyDescent="0.25">
      <c r="A187"/>
      <c r="B187"/>
      <c r="C187"/>
      <c r="D187"/>
      <c r="E187"/>
      <c r="F187"/>
      <c r="G187"/>
      <c r="H187"/>
    </row>
    <row r="188" spans="1:8" ht="19" x14ac:dyDescent="0.25">
      <c r="A188"/>
      <c r="B188"/>
      <c r="C188"/>
      <c r="D188"/>
      <c r="E188"/>
      <c r="F188"/>
      <c r="G188"/>
      <c r="H188"/>
    </row>
    <row r="189" spans="1:8" ht="19" x14ac:dyDescent="0.25">
      <c r="A189"/>
      <c r="B189"/>
      <c r="C189"/>
      <c r="D189"/>
      <c r="E189"/>
      <c r="F189"/>
      <c r="G189"/>
      <c r="H189"/>
    </row>
    <row r="190" spans="1:8" ht="19" x14ac:dyDescent="0.25">
      <c r="A190"/>
      <c r="B190"/>
      <c r="C190"/>
      <c r="D190"/>
      <c r="E190"/>
      <c r="F190"/>
      <c r="G190"/>
      <c r="H190"/>
    </row>
    <row r="191" spans="1:8" ht="19" x14ac:dyDescent="0.25">
      <c r="A191"/>
      <c r="B191"/>
      <c r="C191"/>
      <c r="D191"/>
      <c r="E191"/>
      <c r="F191"/>
      <c r="G191"/>
      <c r="H191"/>
    </row>
    <row r="192" spans="1:8" ht="19" x14ac:dyDescent="0.25">
      <c r="A192"/>
      <c r="B192"/>
      <c r="C192"/>
      <c r="D192"/>
      <c r="E192"/>
      <c r="F192"/>
      <c r="G192"/>
      <c r="H192"/>
    </row>
    <row r="193" spans="1:8" ht="19" x14ac:dyDescent="0.25">
      <c r="A193"/>
      <c r="B193"/>
      <c r="C193"/>
      <c r="D193"/>
      <c r="E193"/>
      <c r="F193"/>
      <c r="G193"/>
      <c r="H193"/>
    </row>
    <row r="194" spans="1:8" ht="19" x14ac:dyDescent="0.25">
      <c r="A194"/>
      <c r="B194"/>
      <c r="C194"/>
      <c r="D194"/>
      <c r="E194"/>
      <c r="F194"/>
      <c r="G194"/>
      <c r="H194"/>
    </row>
    <row r="195" spans="1:8" ht="19" x14ac:dyDescent="0.25">
      <c r="A195"/>
      <c r="B195"/>
      <c r="C195"/>
      <c r="D195"/>
      <c r="E195"/>
      <c r="F195"/>
      <c r="G195"/>
      <c r="H195"/>
    </row>
    <row r="196" spans="1:8" ht="19" x14ac:dyDescent="0.25">
      <c r="A196"/>
      <c r="B196"/>
      <c r="C196"/>
      <c r="D196"/>
      <c r="E196"/>
      <c r="F196"/>
      <c r="G196"/>
      <c r="H196"/>
    </row>
    <row r="197" spans="1:8" ht="19" x14ac:dyDescent="0.25">
      <c r="A197"/>
      <c r="B197"/>
      <c r="C197"/>
      <c r="D197"/>
      <c r="E197"/>
      <c r="F197"/>
      <c r="G197"/>
      <c r="H197"/>
    </row>
    <row r="198" spans="1:8" ht="19" x14ac:dyDescent="0.25">
      <c r="A198"/>
      <c r="B198"/>
      <c r="C198"/>
      <c r="D198"/>
      <c r="E198"/>
      <c r="F198"/>
      <c r="G198"/>
      <c r="H198"/>
    </row>
    <row r="199" spans="1:8" ht="19" x14ac:dyDescent="0.25">
      <c r="A199"/>
      <c r="B199"/>
      <c r="C199"/>
      <c r="D199"/>
      <c r="E199"/>
      <c r="F199"/>
      <c r="G199"/>
      <c r="H199"/>
    </row>
    <row r="200" spans="1:8" ht="19" x14ac:dyDescent="0.25">
      <c r="A200"/>
      <c r="B200"/>
      <c r="C200"/>
      <c r="D200"/>
      <c r="E200"/>
      <c r="F200"/>
      <c r="G200"/>
      <c r="H200"/>
    </row>
    <row r="201" spans="1:8" ht="19" x14ac:dyDescent="0.25">
      <c r="A201"/>
      <c r="B201"/>
      <c r="C201"/>
      <c r="D201"/>
      <c r="E201"/>
      <c r="F201"/>
      <c r="G201"/>
      <c r="H201"/>
    </row>
    <row r="202" spans="1:8" ht="19" x14ac:dyDescent="0.25">
      <c r="A202"/>
      <c r="B202"/>
      <c r="C202"/>
      <c r="D202"/>
      <c r="E202"/>
      <c r="F202"/>
      <c r="G202"/>
      <c r="H202"/>
    </row>
    <row r="203" spans="1:8" ht="19" x14ac:dyDescent="0.25">
      <c r="A203"/>
      <c r="B203"/>
      <c r="C203"/>
      <c r="D203"/>
      <c r="E203"/>
      <c r="F203"/>
      <c r="G203"/>
      <c r="H203"/>
    </row>
    <row r="204" spans="1:8" ht="19" x14ac:dyDescent="0.25">
      <c r="A204"/>
      <c r="B204"/>
      <c r="C204"/>
      <c r="D204"/>
      <c r="E204"/>
      <c r="F204"/>
      <c r="G204"/>
      <c r="H204"/>
    </row>
    <row r="205" spans="1:8" ht="19" x14ac:dyDescent="0.25">
      <c r="A205"/>
      <c r="B205"/>
      <c r="C205"/>
      <c r="D205"/>
      <c r="E205"/>
      <c r="F205"/>
      <c r="G205"/>
      <c r="H205"/>
    </row>
    <row r="206" spans="1:8" ht="19" x14ac:dyDescent="0.25">
      <c r="A206"/>
      <c r="B206"/>
      <c r="C206"/>
      <c r="D206"/>
      <c r="E206"/>
      <c r="F206"/>
      <c r="G206"/>
      <c r="H206"/>
    </row>
    <row r="207" spans="1:8" ht="19" x14ac:dyDescent="0.25">
      <c r="A207"/>
      <c r="B207"/>
      <c r="C207"/>
      <c r="D207"/>
      <c r="E207"/>
      <c r="F207"/>
      <c r="G207"/>
      <c r="H207"/>
    </row>
    <row r="208" spans="1:8" ht="19" x14ac:dyDescent="0.25">
      <c r="A208"/>
      <c r="B208"/>
      <c r="C208"/>
      <c r="D208"/>
      <c r="E208"/>
      <c r="F208"/>
      <c r="G208"/>
      <c r="H208"/>
    </row>
    <row r="209" spans="1:8" ht="19" x14ac:dyDescent="0.25">
      <c r="A209"/>
      <c r="B209"/>
      <c r="C209"/>
      <c r="D209"/>
      <c r="E209"/>
      <c r="F209"/>
      <c r="G209"/>
      <c r="H209"/>
    </row>
    <row r="210" spans="1:8" ht="19" x14ac:dyDescent="0.25">
      <c r="A210"/>
      <c r="B210"/>
      <c r="C210"/>
      <c r="D210"/>
      <c r="E210"/>
      <c r="F210"/>
      <c r="G210"/>
      <c r="H210"/>
    </row>
    <row r="211" spans="1:8" ht="19" x14ac:dyDescent="0.25">
      <c r="A211"/>
      <c r="B211"/>
      <c r="C211"/>
      <c r="D211"/>
      <c r="E211"/>
      <c r="F211"/>
      <c r="G211"/>
      <c r="H211"/>
    </row>
    <row r="212" spans="1:8" ht="19" x14ac:dyDescent="0.25">
      <c r="A212"/>
      <c r="B212"/>
      <c r="C212"/>
      <c r="D212"/>
      <c r="E212"/>
      <c r="F212"/>
      <c r="G212"/>
      <c r="H212"/>
    </row>
    <row r="213" spans="1:8" ht="19" x14ac:dyDescent="0.25">
      <c r="A213"/>
      <c r="B213"/>
      <c r="C213"/>
      <c r="D213"/>
      <c r="E213"/>
      <c r="F213"/>
      <c r="G213"/>
      <c r="H213"/>
    </row>
    <row r="214" spans="1:8" ht="19" x14ac:dyDescent="0.25">
      <c r="A214"/>
      <c r="B214"/>
      <c r="C214"/>
      <c r="D214"/>
      <c r="E214"/>
      <c r="F214"/>
      <c r="G214"/>
      <c r="H214"/>
    </row>
    <row r="215" spans="1:8" ht="19" x14ac:dyDescent="0.25">
      <c r="A215"/>
      <c r="B215"/>
      <c r="C215"/>
      <c r="D215"/>
      <c r="E215"/>
      <c r="F215"/>
      <c r="G215"/>
      <c r="H215"/>
    </row>
    <row r="216" spans="1:8" ht="19" x14ac:dyDescent="0.25">
      <c r="A216"/>
      <c r="B216"/>
      <c r="C216"/>
      <c r="D216"/>
      <c r="E216"/>
      <c r="F216"/>
      <c r="G216"/>
      <c r="H216"/>
    </row>
    <row r="217" spans="1:8" ht="19" x14ac:dyDescent="0.25">
      <c r="A217"/>
      <c r="B217"/>
      <c r="C217"/>
      <c r="D217"/>
      <c r="E217"/>
      <c r="F217"/>
      <c r="G217"/>
      <c r="H217"/>
    </row>
    <row r="218" spans="1:8" ht="19" x14ac:dyDescent="0.25">
      <c r="A218"/>
      <c r="B218"/>
      <c r="C218"/>
      <c r="D218"/>
      <c r="E218"/>
      <c r="F218"/>
      <c r="G218"/>
      <c r="H218"/>
    </row>
    <row r="219" spans="1:8" ht="19" x14ac:dyDescent="0.25">
      <c r="A219"/>
      <c r="B219"/>
      <c r="C219"/>
      <c r="D219"/>
      <c r="E219"/>
      <c r="F219"/>
      <c r="G219"/>
      <c r="H219"/>
    </row>
    <row r="220" spans="1:8" ht="19" x14ac:dyDescent="0.25">
      <c r="A220"/>
      <c r="B220"/>
      <c r="C220"/>
      <c r="D220"/>
      <c r="E220"/>
      <c r="F220"/>
      <c r="G220"/>
      <c r="H220"/>
    </row>
    <row r="221" spans="1:8" ht="19" x14ac:dyDescent="0.25">
      <c r="A221"/>
      <c r="B221"/>
      <c r="C221"/>
      <c r="D221"/>
      <c r="E221"/>
      <c r="F221"/>
      <c r="G221"/>
      <c r="H221"/>
    </row>
    <row r="222" spans="1:8" ht="19" x14ac:dyDescent="0.25">
      <c r="A222"/>
      <c r="B222"/>
      <c r="C222"/>
      <c r="D222"/>
      <c r="E222"/>
      <c r="F222"/>
      <c r="G222"/>
      <c r="H222"/>
    </row>
    <row r="223" spans="1:8" ht="19" x14ac:dyDescent="0.25">
      <c r="A223"/>
      <c r="B223"/>
      <c r="C223"/>
      <c r="D223"/>
      <c r="E223"/>
      <c r="F223"/>
      <c r="G223"/>
      <c r="H223"/>
    </row>
    <row r="224" spans="1:8" ht="19" x14ac:dyDescent="0.25">
      <c r="A224"/>
      <c r="B224"/>
      <c r="C224"/>
      <c r="D224"/>
      <c r="E224"/>
      <c r="F224"/>
      <c r="G224"/>
      <c r="H224"/>
    </row>
    <row r="225" spans="1:8" ht="19" x14ac:dyDescent="0.25">
      <c r="A225"/>
      <c r="B225"/>
      <c r="C225"/>
      <c r="D225"/>
      <c r="E225"/>
      <c r="F225"/>
      <c r="G225"/>
      <c r="H225"/>
    </row>
    <row r="226" spans="1:8" ht="19" x14ac:dyDescent="0.25">
      <c r="A226"/>
      <c r="B226"/>
      <c r="C226"/>
      <c r="D226"/>
      <c r="E226"/>
      <c r="F226"/>
      <c r="G226"/>
      <c r="H226"/>
    </row>
    <row r="227" spans="1:8" ht="19" x14ac:dyDescent="0.25">
      <c r="A227"/>
      <c r="B227"/>
      <c r="C227"/>
      <c r="D227"/>
      <c r="E227"/>
      <c r="F227"/>
      <c r="G227"/>
      <c r="H227"/>
    </row>
    <row r="228" spans="1:8" ht="19" x14ac:dyDescent="0.25">
      <c r="A228"/>
      <c r="B228"/>
      <c r="C228"/>
      <c r="D228"/>
      <c r="E228"/>
      <c r="F228"/>
      <c r="G228"/>
      <c r="H228"/>
    </row>
    <row r="229" spans="1:8" ht="19" x14ac:dyDescent="0.25">
      <c r="A229"/>
      <c r="B229"/>
      <c r="C229"/>
      <c r="D229"/>
      <c r="E229"/>
      <c r="F229"/>
      <c r="G229"/>
      <c r="H229"/>
    </row>
    <row r="230" spans="1:8" ht="19" x14ac:dyDescent="0.25">
      <c r="A230"/>
      <c r="B230"/>
      <c r="C230"/>
      <c r="D230"/>
      <c r="E230"/>
      <c r="F230"/>
      <c r="G230"/>
      <c r="H230"/>
    </row>
    <row r="231" spans="1:8" ht="19" x14ac:dyDescent="0.25">
      <c r="A231"/>
      <c r="B231"/>
      <c r="C231"/>
      <c r="D231"/>
      <c r="E231"/>
      <c r="F231"/>
      <c r="G231"/>
      <c r="H231"/>
    </row>
    <row r="232" spans="1:8" ht="19" x14ac:dyDescent="0.25">
      <c r="A232"/>
      <c r="B232"/>
      <c r="C232"/>
      <c r="D232"/>
      <c r="E232"/>
      <c r="F232"/>
      <c r="G232"/>
      <c r="H232"/>
    </row>
    <row r="233" spans="1:8" ht="19" x14ac:dyDescent="0.25">
      <c r="A233"/>
      <c r="B233"/>
      <c r="C233"/>
      <c r="D233"/>
      <c r="E233"/>
      <c r="F233"/>
      <c r="G233"/>
      <c r="H233"/>
    </row>
    <row r="234" spans="1:8" ht="19" x14ac:dyDescent="0.25">
      <c r="A234"/>
      <c r="B234"/>
      <c r="C234"/>
      <c r="D234"/>
      <c r="E234"/>
      <c r="F234"/>
      <c r="G234"/>
      <c r="H234"/>
    </row>
    <row r="235" spans="1:8" ht="19" x14ac:dyDescent="0.25">
      <c r="A235"/>
      <c r="B235"/>
      <c r="C235"/>
      <c r="D235"/>
      <c r="E235"/>
      <c r="F235"/>
      <c r="G235"/>
      <c r="H235"/>
    </row>
    <row r="236" spans="1:8" ht="19" x14ac:dyDescent="0.25">
      <c r="A236"/>
      <c r="B236"/>
      <c r="C236"/>
      <c r="D236"/>
      <c r="E236"/>
      <c r="F236"/>
      <c r="G236"/>
      <c r="H236"/>
    </row>
    <row r="237" spans="1:8" ht="19" x14ac:dyDescent="0.25">
      <c r="A237"/>
      <c r="B237"/>
      <c r="C237"/>
      <c r="D237"/>
      <c r="E237"/>
      <c r="F237"/>
      <c r="G237"/>
      <c r="H237"/>
    </row>
    <row r="238" spans="1:8" ht="19" x14ac:dyDescent="0.25">
      <c r="A238"/>
      <c r="B238"/>
      <c r="C238"/>
      <c r="D238"/>
      <c r="E238"/>
      <c r="F238"/>
      <c r="G238"/>
      <c r="H238"/>
    </row>
    <row r="239" spans="1:8" ht="19" x14ac:dyDescent="0.25">
      <c r="A239"/>
      <c r="B239"/>
      <c r="C239"/>
      <c r="D239"/>
      <c r="E239"/>
      <c r="F239"/>
      <c r="G239"/>
      <c r="H239"/>
    </row>
    <row r="240" spans="1:8" ht="19" x14ac:dyDescent="0.25">
      <c r="A240"/>
      <c r="B240"/>
      <c r="C240"/>
      <c r="D240"/>
      <c r="E240"/>
      <c r="F240"/>
      <c r="G240"/>
      <c r="H240"/>
    </row>
    <row r="241" spans="1:8" ht="19" x14ac:dyDescent="0.25">
      <c r="A241"/>
      <c r="B241"/>
      <c r="C241"/>
      <c r="D241"/>
      <c r="E241"/>
      <c r="F241"/>
      <c r="G241"/>
      <c r="H241"/>
    </row>
    <row r="242" spans="1:8" ht="19" x14ac:dyDescent="0.25">
      <c r="A242"/>
      <c r="B242"/>
      <c r="C242"/>
      <c r="D242"/>
      <c r="E242"/>
      <c r="F242"/>
      <c r="G242"/>
      <c r="H242"/>
    </row>
    <row r="243" spans="1:8" ht="19" x14ac:dyDescent="0.25">
      <c r="A243"/>
      <c r="B243"/>
      <c r="C243"/>
      <c r="D243"/>
      <c r="E243"/>
      <c r="F243"/>
      <c r="G243"/>
      <c r="H243"/>
    </row>
    <row r="244" spans="1:8" ht="19" x14ac:dyDescent="0.25">
      <c r="A244"/>
      <c r="B244"/>
      <c r="C244"/>
      <c r="D244"/>
      <c r="E244"/>
      <c r="F244"/>
      <c r="G244"/>
      <c r="H244"/>
    </row>
    <row r="245" spans="1:8" ht="19" x14ac:dyDescent="0.25">
      <c r="A245"/>
      <c r="B245"/>
      <c r="C245"/>
      <c r="D245"/>
      <c r="E245"/>
      <c r="F245"/>
      <c r="G245"/>
      <c r="H245"/>
    </row>
    <row r="246" spans="1:8" ht="19" x14ac:dyDescent="0.25">
      <c r="A246"/>
      <c r="B246"/>
      <c r="C246"/>
      <c r="D246"/>
      <c r="E246"/>
      <c r="F246"/>
      <c r="G246"/>
      <c r="H246"/>
    </row>
    <row r="247" spans="1:8" ht="19" x14ac:dyDescent="0.25">
      <c r="A247"/>
      <c r="B247"/>
      <c r="C247"/>
      <c r="D247"/>
      <c r="E247"/>
      <c r="F247"/>
      <c r="G247"/>
      <c r="H247"/>
    </row>
    <row r="248" spans="1:8" ht="19" x14ac:dyDescent="0.25">
      <c r="A248"/>
      <c r="B248"/>
      <c r="C248"/>
      <c r="D248"/>
      <c r="E248"/>
      <c r="F248"/>
      <c r="G248"/>
      <c r="H248"/>
    </row>
    <row r="249" spans="1:8" ht="19" x14ac:dyDescent="0.25">
      <c r="A249"/>
      <c r="B249"/>
      <c r="C249"/>
      <c r="D249"/>
      <c r="E249"/>
      <c r="F249"/>
      <c r="G249"/>
      <c r="H249"/>
    </row>
    <row r="250" spans="1:8" ht="19" x14ac:dyDescent="0.25">
      <c r="A250"/>
      <c r="B250"/>
      <c r="C250"/>
      <c r="D250"/>
      <c r="E250"/>
      <c r="F250"/>
      <c r="G250"/>
      <c r="H250"/>
    </row>
    <row r="251" spans="1:8" ht="19" x14ac:dyDescent="0.25">
      <c r="A251"/>
      <c r="B251"/>
      <c r="C251"/>
      <c r="D251"/>
      <c r="E251"/>
      <c r="F251"/>
      <c r="G251"/>
      <c r="H251"/>
    </row>
    <row r="252" spans="1:8" ht="19" x14ac:dyDescent="0.25">
      <c r="A252"/>
      <c r="B252"/>
      <c r="C252"/>
      <c r="D252"/>
      <c r="E252"/>
      <c r="F252"/>
      <c r="G252"/>
      <c r="H252"/>
    </row>
    <row r="253" spans="1:8" ht="19" x14ac:dyDescent="0.25">
      <c r="A253"/>
      <c r="B253"/>
      <c r="C253"/>
      <c r="D253"/>
      <c r="E253"/>
      <c r="F253"/>
      <c r="G253"/>
      <c r="H253"/>
    </row>
    <row r="254" spans="1:8" ht="19" x14ac:dyDescent="0.25">
      <c r="A254"/>
      <c r="B254"/>
      <c r="C254"/>
      <c r="D254"/>
      <c r="E254"/>
      <c r="F254"/>
      <c r="G254"/>
      <c r="H254"/>
    </row>
    <row r="255" spans="1:8" ht="19" x14ac:dyDescent="0.25">
      <c r="A255"/>
      <c r="B255"/>
      <c r="C255"/>
      <c r="D255"/>
      <c r="E255"/>
      <c r="F255"/>
      <c r="G255"/>
      <c r="H255"/>
    </row>
    <row r="256" spans="1:8" ht="19" x14ac:dyDescent="0.25">
      <c r="A256"/>
      <c r="B256"/>
      <c r="C256"/>
      <c r="D256"/>
      <c r="E256"/>
      <c r="F256"/>
      <c r="G256"/>
      <c r="H256"/>
    </row>
    <row r="257" spans="1:8" ht="19" x14ac:dyDescent="0.25">
      <c r="A257"/>
      <c r="B257"/>
      <c r="C257"/>
      <c r="D257"/>
      <c r="E257"/>
      <c r="F257"/>
      <c r="G257"/>
      <c r="H257"/>
    </row>
    <row r="258" spans="1:8" ht="19" x14ac:dyDescent="0.25">
      <c r="A258"/>
      <c r="B258"/>
      <c r="C258"/>
      <c r="D258"/>
      <c r="E258"/>
      <c r="F258"/>
      <c r="G258"/>
      <c r="H258"/>
    </row>
    <row r="259" spans="1:8" ht="19" x14ac:dyDescent="0.25">
      <c r="A259"/>
      <c r="B259"/>
      <c r="C259"/>
      <c r="D259"/>
      <c r="E259"/>
      <c r="F259"/>
      <c r="G259"/>
      <c r="H259"/>
    </row>
    <row r="260" spans="1:8" ht="19" x14ac:dyDescent="0.25">
      <c r="A260"/>
      <c r="B260"/>
      <c r="C260"/>
      <c r="D260"/>
      <c r="E260"/>
      <c r="F260"/>
      <c r="G260"/>
      <c r="H260"/>
    </row>
    <row r="261" spans="1:8" ht="19" x14ac:dyDescent="0.25">
      <c r="A261"/>
      <c r="B261"/>
      <c r="C261"/>
      <c r="D261"/>
      <c r="E261"/>
      <c r="F261"/>
      <c r="G261"/>
      <c r="H261"/>
    </row>
    <row r="262" spans="1:8" ht="19" x14ac:dyDescent="0.25">
      <c r="A262"/>
      <c r="B262"/>
      <c r="C262"/>
      <c r="D262"/>
      <c r="E262"/>
      <c r="F262"/>
      <c r="G262"/>
      <c r="H262"/>
    </row>
    <row r="263" spans="1:8" ht="19" x14ac:dyDescent="0.25">
      <c r="A263"/>
      <c r="B263"/>
      <c r="C263"/>
      <c r="D263"/>
      <c r="E263"/>
      <c r="F263"/>
      <c r="G263"/>
      <c r="H263"/>
    </row>
    <row r="264" spans="1:8" ht="19" x14ac:dyDescent="0.25">
      <c r="A264"/>
      <c r="B264"/>
      <c r="C264"/>
      <c r="D264"/>
      <c r="E264"/>
      <c r="F264"/>
      <c r="G264"/>
      <c r="H264"/>
    </row>
    <row r="265" spans="1:8" ht="19" x14ac:dyDescent="0.25">
      <c r="A265"/>
      <c r="B265"/>
      <c r="C265"/>
      <c r="D265"/>
      <c r="E265"/>
      <c r="F265"/>
      <c r="G265"/>
      <c r="H265"/>
    </row>
    <row r="266" spans="1:8" ht="19" x14ac:dyDescent="0.25">
      <c r="A266"/>
      <c r="B266"/>
      <c r="C266"/>
      <c r="D266"/>
      <c r="E266"/>
      <c r="F266"/>
      <c r="G266"/>
      <c r="H266"/>
    </row>
    <row r="267" spans="1:8" ht="19" x14ac:dyDescent="0.25">
      <c r="A267"/>
      <c r="B267"/>
      <c r="C267"/>
      <c r="D267"/>
      <c r="E267"/>
      <c r="F267"/>
      <c r="G267"/>
      <c r="H267"/>
    </row>
    <row r="268" spans="1:8" ht="19" x14ac:dyDescent="0.25">
      <c r="A268"/>
      <c r="B268"/>
      <c r="C268"/>
      <c r="D268"/>
      <c r="E268"/>
      <c r="F268"/>
      <c r="G268"/>
      <c r="H268"/>
    </row>
    <row r="269" spans="1:8" ht="19" x14ac:dyDescent="0.25">
      <c r="A269"/>
      <c r="B269"/>
      <c r="C269"/>
      <c r="D269"/>
      <c r="E269"/>
      <c r="F269"/>
      <c r="G269"/>
      <c r="H269"/>
    </row>
    <row r="270" spans="1:8" ht="19" x14ac:dyDescent="0.25">
      <c r="A270"/>
      <c r="B270"/>
      <c r="C270"/>
      <c r="D270"/>
      <c r="E270"/>
      <c r="F270"/>
      <c r="G270"/>
      <c r="H270"/>
    </row>
    <row r="271" spans="1:8" ht="19" x14ac:dyDescent="0.25">
      <c r="A271"/>
      <c r="B271"/>
      <c r="C271"/>
      <c r="D271"/>
      <c r="E271"/>
      <c r="F271"/>
      <c r="G271"/>
      <c r="H271"/>
    </row>
    <row r="272" spans="1:8" ht="19" x14ac:dyDescent="0.25">
      <c r="A272"/>
      <c r="B272"/>
      <c r="C272"/>
      <c r="D272"/>
      <c r="E272"/>
      <c r="F272"/>
      <c r="G272"/>
      <c r="H272"/>
    </row>
    <row r="273" spans="1:8" ht="19" x14ac:dyDescent="0.25">
      <c r="A273"/>
      <c r="B273"/>
      <c r="C273"/>
      <c r="D273"/>
      <c r="E273"/>
      <c r="F273"/>
      <c r="G273"/>
      <c r="H273"/>
    </row>
    <row r="274" spans="1:8" ht="19" x14ac:dyDescent="0.25">
      <c r="A274"/>
      <c r="B274"/>
      <c r="C274"/>
      <c r="D274"/>
      <c r="E274"/>
      <c r="F274"/>
      <c r="G274"/>
      <c r="H274"/>
    </row>
    <row r="275" spans="1:8" ht="19" x14ac:dyDescent="0.25">
      <c r="A275"/>
      <c r="B275"/>
      <c r="C275"/>
      <c r="D275"/>
      <c r="E275"/>
      <c r="F275"/>
      <c r="G275"/>
      <c r="H275"/>
    </row>
    <row r="276" spans="1:8" ht="19" x14ac:dyDescent="0.25">
      <c r="A276"/>
      <c r="B276"/>
      <c r="C276"/>
      <c r="D276"/>
      <c r="E276"/>
      <c r="F276"/>
      <c r="G276"/>
      <c r="H276"/>
    </row>
    <row r="277" spans="1:8" ht="19" x14ac:dyDescent="0.25">
      <c r="A277"/>
      <c r="B277"/>
      <c r="C277"/>
      <c r="D277"/>
      <c r="E277"/>
      <c r="F277"/>
      <c r="G277"/>
      <c r="H277"/>
    </row>
    <row r="278" spans="1:8" x14ac:dyDescent="0.2">
      <c r="A278"/>
      <c r="B278"/>
      <c r="C278"/>
      <c r="D278"/>
      <c r="E278"/>
      <c r="F278"/>
      <c r="G278"/>
      <c r="H278"/>
    </row>
    <row r="279" spans="1:8" x14ac:dyDescent="0.2">
      <c r="A279"/>
      <c r="B279"/>
      <c r="C279"/>
      <c r="D279"/>
      <c r="E279"/>
      <c r="F279"/>
      <c r="G279"/>
      <c r="H279"/>
    </row>
    <row r="280" spans="1:8" x14ac:dyDescent="0.2">
      <c r="A280"/>
      <c r="B280"/>
      <c r="C280"/>
      <c r="D280"/>
      <c r="E280"/>
      <c r="F280"/>
      <c r="G280"/>
      <c r="H280"/>
    </row>
    <row r="281" spans="1:8" x14ac:dyDescent="0.2">
      <c r="A281"/>
      <c r="B281"/>
      <c r="C281"/>
      <c r="D281"/>
      <c r="E281"/>
      <c r="F281"/>
      <c r="G281"/>
      <c r="H281"/>
    </row>
    <row r="282" spans="1:8" x14ac:dyDescent="0.2">
      <c r="A282"/>
      <c r="B282"/>
      <c r="C282"/>
    </row>
    <row r="283" spans="1:8" x14ac:dyDescent="0.2">
      <c r="A283"/>
      <c r="B283"/>
      <c r="C283"/>
    </row>
    <row r="284" spans="1:8" x14ac:dyDescent="0.2">
      <c r="A284"/>
      <c r="B284"/>
      <c r="C284"/>
    </row>
    <row r="285" spans="1:8" x14ac:dyDescent="0.2">
      <c r="A285"/>
      <c r="B285"/>
      <c r="C285"/>
    </row>
    <row r="286" spans="1:8" x14ac:dyDescent="0.2">
      <c r="A286"/>
      <c r="B286"/>
      <c r="C286"/>
    </row>
    <row r="287" spans="1:8" x14ac:dyDescent="0.2">
      <c r="A287"/>
      <c r="B287"/>
      <c r="C287"/>
    </row>
    <row r="288" spans="1:8" x14ac:dyDescent="0.2">
      <c r="A288"/>
      <c r="B288"/>
      <c r="C288"/>
    </row>
    <row r="289" spans="1:3" x14ac:dyDescent="0.2">
      <c r="A289"/>
      <c r="B289"/>
      <c r="C289"/>
    </row>
    <row r="290" spans="1:3" x14ac:dyDescent="0.2">
      <c r="A290"/>
      <c r="B290"/>
      <c r="C290"/>
    </row>
    <row r="291" spans="1:3" x14ac:dyDescent="0.2">
      <c r="A291"/>
      <c r="B291"/>
      <c r="C291"/>
    </row>
    <row r="292" spans="1:3" x14ac:dyDescent="0.2">
      <c r="A292"/>
      <c r="B292"/>
      <c r="C292"/>
    </row>
    <row r="293" spans="1:3" x14ac:dyDescent="0.2">
      <c r="A293"/>
      <c r="B293"/>
      <c r="C293"/>
    </row>
    <row r="294" spans="1:3" x14ac:dyDescent="0.2">
      <c r="A294"/>
      <c r="B294"/>
      <c r="C294"/>
    </row>
    <row r="295" spans="1:3" x14ac:dyDescent="0.2">
      <c r="A295"/>
      <c r="B295"/>
      <c r="C295"/>
    </row>
    <row r="296" spans="1:3" x14ac:dyDescent="0.2">
      <c r="A296"/>
      <c r="B296"/>
      <c r="C296"/>
    </row>
    <row r="297" spans="1:3" x14ac:dyDescent="0.2">
      <c r="A297"/>
      <c r="B297"/>
      <c r="C297"/>
    </row>
    <row r="298" spans="1:3" x14ac:dyDescent="0.2">
      <c r="A298"/>
      <c r="B298"/>
      <c r="C298"/>
    </row>
    <row r="299" spans="1:3" x14ac:dyDescent="0.2">
      <c r="A299"/>
      <c r="B299"/>
      <c r="C299"/>
    </row>
    <row r="300" spans="1:3" x14ac:dyDescent="0.2">
      <c r="A300"/>
      <c r="B300"/>
      <c r="C300"/>
    </row>
    <row r="301" spans="1:3" x14ac:dyDescent="0.2">
      <c r="A301"/>
      <c r="B301"/>
      <c r="C301"/>
    </row>
    <row r="302" spans="1:3" x14ac:dyDescent="0.2">
      <c r="A302"/>
      <c r="B302"/>
      <c r="C302"/>
    </row>
    <row r="303" spans="1:3" x14ac:dyDescent="0.2">
      <c r="A303"/>
      <c r="B303"/>
      <c r="C303"/>
    </row>
    <row r="304" spans="1:3" x14ac:dyDescent="0.2">
      <c r="A304"/>
      <c r="B304"/>
      <c r="C304"/>
    </row>
    <row r="305" spans="1:3" x14ac:dyDescent="0.2">
      <c r="A305"/>
      <c r="B305"/>
      <c r="C305"/>
    </row>
    <row r="306" spans="1:3" x14ac:dyDescent="0.2">
      <c r="A306"/>
      <c r="B306"/>
      <c r="C306"/>
    </row>
    <row r="307" spans="1:3" x14ac:dyDescent="0.2">
      <c r="A307"/>
      <c r="B307"/>
      <c r="C307"/>
    </row>
    <row r="308" spans="1:3" x14ac:dyDescent="0.2">
      <c r="A308"/>
      <c r="B308"/>
      <c r="C308"/>
    </row>
    <row r="309" spans="1:3" x14ac:dyDescent="0.2">
      <c r="A309"/>
      <c r="B309"/>
      <c r="C309"/>
    </row>
    <row r="310" spans="1:3" x14ac:dyDescent="0.2">
      <c r="A310"/>
      <c r="B310"/>
      <c r="C310"/>
    </row>
    <row r="311" spans="1:3" x14ac:dyDescent="0.2">
      <c r="A311"/>
      <c r="B311"/>
      <c r="C311"/>
    </row>
    <row r="312" spans="1:3" x14ac:dyDescent="0.2">
      <c r="A312"/>
      <c r="B312"/>
      <c r="C312"/>
    </row>
    <row r="313" spans="1:3" x14ac:dyDescent="0.2">
      <c r="A313"/>
      <c r="B313"/>
      <c r="C313"/>
    </row>
    <row r="314" spans="1:3" x14ac:dyDescent="0.2">
      <c r="A314"/>
      <c r="B314"/>
      <c r="C314"/>
    </row>
    <row r="315" spans="1:3" x14ac:dyDescent="0.2">
      <c r="A315"/>
      <c r="B315"/>
      <c r="C315"/>
    </row>
    <row r="316" spans="1:3" x14ac:dyDescent="0.2">
      <c r="A316"/>
      <c r="B316"/>
      <c r="C316"/>
    </row>
    <row r="317" spans="1:3" x14ac:dyDescent="0.2">
      <c r="A317"/>
      <c r="B317"/>
      <c r="C317"/>
    </row>
    <row r="318" spans="1:3" x14ac:dyDescent="0.2">
      <c r="A318"/>
      <c r="B318"/>
      <c r="C318"/>
    </row>
    <row r="319" spans="1:3" x14ac:dyDescent="0.2">
      <c r="A319"/>
      <c r="B319"/>
      <c r="C319"/>
    </row>
    <row r="320" spans="1:3" x14ac:dyDescent="0.2">
      <c r="A320"/>
      <c r="B320"/>
      <c r="C320"/>
    </row>
    <row r="321" spans="1:3" x14ac:dyDescent="0.2">
      <c r="A321"/>
      <c r="B321"/>
      <c r="C321"/>
    </row>
    <row r="322" spans="1:3" x14ac:dyDescent="0.2">
      <c r="A322"/>
      <c r="B322"/>
      <c r="C322"/>
    </row>
    <row r="323" spans="1:3" x14ac:dyDescent="0.2">
      <c r="A323"/>
      <c r="B323"/>
      <c r="C323"/>
    </row>
    <row r="324" spans="1:3" x14ac:dyDescent="0.2">
      <c r="A324"/>
      <c r="B324"/>
      <c r="C324"/>
    </row>
    <row r="325" spans="1:3" x14ac:dyDescent="0.2">
      <c r="A325"/>
      <c r="B325"/>
      <c r="C325"/>
    </row>
    <row r="326" spans="1:3" x14ac:dyDescent="0.2">
      <c r="A326"/>
      <c r="B326"/>
      <c r="C326"/>
    </row>
    <row r="327" spans="1:3" x14ac:dyDescent="0.2">
      <c r="A327"/>
      <c r="B327"/>
      <c r="C327"/>
    </row>
    <row r="328" spans="1:3" x14ac:dyDescent="0.2">
      <c r="A328"/>
      <c r="B328"/>
      <c r="C328"/>
    </row>
    <row r="329" spans="1:3" x14ac:dyDescent="0.2">
      <c r="A329"/>
      <c r="B329"/>
      <c r="C329"/>
    </row>
    <row r="330" spans="1:3" x14ac:dyDescent="0.2">
      <c r="A330"/>
      <c r="B330"/>
      <c r="C330"/>
    </row>
    <row r="331" spans="1:3" x14ac:dyDescent="0.2">
      <c r="A331"/>
      <c r="B331"/>
      <c r="C331"/>
    </row>
    <row r="332" spans="1:3" x14ac:dyDescent="0.2">
      <c r="A332"/>
      <c r="B332"/>
      <c r="C332"/>
    </row>
    <row r="333" spans="1:3" x14ac:dyDescent="0.2">
      <c r="A333"/>
      <c r="B333"/>
      <c r="C333"/>
    </row>
    <row r="334" spans="1:3" x14ac:dyDescent="0.2">
      <c r="A334"/>
      <c r="B334"/>
      <c r="C334"/>
    </row>
    <row r="335" spans="1:3" x14ac:dyDescent="0.2">
      <c r="A335"/>
      <c r="B335"/>
      <c r="C335"/>
    </row>
    <row r="336" spans="1:3" x14ac:dyDescent="0.2">
      <c r="A336"/>
      <c r="B336"/>
      <c r="C336"/>
    </row>
    <row r="337" spans="1:3" x14ac:dyDescent="0.2">
      <c r="A337"/>
      <c r="B337"/>
      <c r="C337"/>
    </row>
    <row r="338" spans="1:3" x14ac:dyDescent="0.2">
      <c r="A338"/>
      <c r="B338"/>
      <c r="C338"/>
    </row>
    <row r="339" spans="1:3" x14ac:dyDescent="0.2">
      <c r="A339"/>
      <c r="B339"/>
      <c r="C339"/>
    </row>
    <row r="340" spans="1:3" x14ac:dyDescent="0.2">
      <c r="A340"/>
      <c r="B340"/>
      <c r="C340"/>
    </row>
    <row r="341" spans="1:3" x14ac:dyDescent="0.2">
      <c r="A341"/>
      <c r="B341"/>
      <c r="C341"/>
    </row>
    <row r="342" spans="1:3" x14ac:dyDescent="0.2">
      <c r="A342"/>
      <c r="B342"/>
      <c r="C342"/>
    </row>
    <row r="343" spans="1:3" x14ac:dyDescent="0.2">
      <c r="A343"/>
      <c r="B343"/>
      <c r="C343"/>
    </row>
    <row r="344" spans="1:3" x14ac:dyDescent="0.2">
      <c r="A344"/>
      <c r="B344"/>
      <c r="C344"/>
    </row>
    <row r="345" spans="1:3" x14ac:dyDescent="0.2">
      <c r="A345"/>
      <c r="B345"/>
      <c r="C345"/>
    </row>
    <row r="346" spans="1:3" x14ac:dyDescent="0.2">
      <c r="A346"/>
      <c r="B346"/>
      <c r="C346"/>
    </row>
    <row r="347" spans="1:3" x14ac:dyDescent="0.2">
      <c r="A347"/>
      <c r="B347"/>
      <c r="C347"/>
    </row>
    <row r="348" spans="1:3" x14ac:dyDescent="0.2">
      <c r="A348"/>
      <c r="B348"/>
      <c r="C348"/>
    </row>
    <row r="349" spans="1:3" x14ac:dyDescent="0.2">
      <c r="A349"/>
      <c r="B349"/>
      <c r="C349"/>
    </row>
    <row r="350" spans="1:3" x14ac:dyDescent="0.2">
      <c r="A350"/>
      <c r="B350"/>
      <c r="C350"/>
    </row>
    <row r="351" spans="1:3" x14ac:dyDescent="0.2">
      <c r="A351"/>
      <c r="B351"/>
      <c r="C351"/>
    </row>
    <row r="352" spans="1:3" x14ac:dyDescent="0.2">
      <c r="A352"/>
      <c r="B352"/>
      <c r="C352"/>
    </row>
    <row r="353" spans="1:3" x14ac:dyDescent="0.2">
      <c r="A353"/>
      <c r="B353"/>
      <c r="C353"/>
    </row>
    <row r="354" spans="1:3" x14ac:dyDescent="0.2">
      <c r="A354"/>
      <c r="B354"/>
      <c r="C354"/>
    </row>
    <row r="355" spans="1:3" x14ac:dyDescent="0.2">
      <c r="A355"/>
      <c r="B355"/>
      <c r="C355"/>
    </row>
    <row r="356" spans="1:3" x14ac:dyDescent="0.2">
      <c r="A356"/>
      <c r="B356"/>
      <c r="C356"/>
    </row>
    <row r="357" spans="1:3" x14ac:dyDescent="0.2">
      <c r="A357"/>
      <c r="B357"/>
      <c r="C357"/>
    </row>
    <row r="358" spans="1:3" x14ac:dyDescent="0.2">
      <c r="A358"/>
      <c r="B358"/>
      <c r="C358"/>
    </row>
    <row r="359" spans="1:3" x14ac:dyDescent="0.2">
      <c r="A359"/>
      <c r="B359"/>
      <c r="C359"/>
    </row>
    <row r="360" spans="1:3" x14ac:dyDescent="0.2">
      <c r="A360"/>
      <c r="B360"/>
      <c r="C360"/>
    </row>
    <row r="361" spans="1:3" x14ac:dyDescent="0.2">
      <c r="A361"/>
      <c r="B361"/>
      <c r="C361"/>
    </row>
    <row r="362" spans="1:3" x14ac:dyDescent="0.2">
      <c r="A362"/>
      <c r="B362"/>
      <c r="C362"/>
    </row>
    <row r="363" spans="1:3" x14ac:dyDescent="0.2">
      <c r="A363"/>
      <c r="B363"/>
      <c r="C363"/>
    </row>
    <row r="364" spans="1:3" x14ac:dyDescent="0.2">
      <c r="A364"/>
      <c r="B364"/>
      <c r="C364"/>
    </row>
    <row r="365" spans="1:3" x14ac:dyDescent="0.2">
      <c r="A365"/>
      <c r="B365"/>
      <c r="C365"/>
    </row>
    <row r="366" spans="1:3" x14ac:dyDescent="0.2">
      <c r="A366"/>
      <c r="B366"/>
      <c r="C366"/>
    </row>
    <row r="367" spans="1:3" x14ac:dyDescent="0.2">
      <c r="A367"/>
      <c r="B367"/>
      <c r="C367"/>
    </row>
    <row r="368" spans="1:3" x14ac:dyDescent="0.2">
      <c r="A368"/>
      <c r="B368"/>
      <c r="C368"/>
    </row>
    <row r="369" spans="1:3" x14ac:dyDescent="0.2">
      <c r="A369"/>
      <c r="B369"/>
      <c r="C369"/>
    </row>
    <row r="370" spans="1:3" x14ac:dyDescent="0.2">
      <c r="A370"/>
      <c r="B370"/>
      <c r="C370"/>
    </row>
    <row r="371" spans="1:3" x14ac:dyDescent="0.2">
      <c r="A371"/>
      <c r="B371"/>
      <c r="C371"/>
    </row>
    <row r="372" spans="1:3" x14ac:dyDescent="0.2">
      <c r="A372"/>
      <c r="B372"/>
      <c r="C372"/>
    </row>
    <row r="373" spans="1:3" x14ac:dyDescent="0.2">
      <c r="A373"/>
      <c r="B373"/>
      <c r="C373"/>
    </row>
    <row r="374" spans="1:3" x14ac:dyDescent="0.2">
      <c r="A374"/>
      <c r="B374"/>
      <c r="C374"/>
    </row>
    <row r="375" spans="1:3" x14ac:dyDescent="0.2">
      <c r="A375"/>
      <c r="B375"/>
      <c r="C375"/>
    </row>
    <row r="376" spans="1:3" x14ac:dyDescent="0.2">
      <c r="A376"/>
      <c r="B376"/>
      <c r="C376"/>
    </row>
    <row r="377" spans="1:3" x14ac:dyDescent="0.2">
      <c r="A377"/>
      <c r="B377"/>
      <c r="C377"/>
    </row>
    <row r="378" spans="1:3" x14ac:dyDescent="0.2">
      <c r="A378"/>
      <c r="B378"/>
      <c r="C378"/>
    </row>
    <row r="379" spans="1:3" x14ac:dyDescent="0.2">
      <c r="A379"/>
      <c r="B379"/>
      <c r="C379"/>
    </row>
    <row r="380" spans="1:3" x14ac:dyDescent="0.2">
      <c r="A380"/>
      <c r="B380"/>
      <c r="C380"/>
    </row>
    <row r="381" spans="1:3" x14ac:dyDescent="0.2">
      <c r="A381"/>
      <c r="B381"/>
      <c r="C381"/>
    </row>
    <row r="382" spans="1:3" x14ac:dyDescent="0.2">
      <c r="A382"/>
      <c r="B382"/>
      <c r="C382"/>
    </row>
    <row r="383" spans="1:3" x14ac:dyDescent="0.2">
      <c r="A383"/>
      <c r="B383"/>
      <c r="C383"/>
    </row>
    <row r="384" spans="1:3" x14ac:dyDescent="0.2">
      <c r="A384"/>
      <c r="B384"/>
      <c r="C384"/>
    </row>
    <row r="385" spans="1:3" x14ac:dyDescent="0.2">
      <c r="A385"/>
      <c r="B385"/>
      <c r="C385"/>
    </row>
    <row r="386" spans="1:3" x14ac:dyDescent="0.2">
      <c r="A386"/>
      <c r="B386"/>
      <c r="C386"/>
    </row>
    <row r="387" spans="1:3" x14ac:dyDescent="0.2">
      <c r="A387"/>
      <c r="B387"/>
      <c r="C387"/>
    </row>
    <row r="388" spans="1:3" x14ac:dyDescent="0.2">
      <c r="A388"/>
      <c r="B388"/>
      <c r="C388"/>
    </row>
    <row r="389" spans="1:3" x14ac:dyDescent="0.2">
      <c r="A389"/>
      <c r="B389"/>
      <c r="C389"/>
    </row>
    <row r="390" spans="1:3" x14ac:dyDescent="0.2">
      <c r="A390"/>
      <c r="B390"/>
      <c r="C390"/>
    </row>
    <row r="391" spans="1:3" x14ac:dyDescent="0.2">
      <c r="A391"/>
      <c r="B391"/>
      <c r="C391"/>
    </row>
    <row r="392" spans="1:3" x14ac:dyDescent="0.2">
      <c r="A392"/>
      <c r="B392"/>
      <c r="C392"/>
    </row>
    <row r="393" spans="1:3" x14ac:dyDescent="0.2">
      <c r="A393"/>
      <c r="B393"/>
      <c r="C393"/>
    </row>
    <row r="394" spans="1:3" x14ac:dyDescent="0.2">
      <c r="A394"/>
      <c r="B394"/>
      <c r="C394"/>
    </row>
    <row r="395" spans="1:3" x14ac:dyDescent="0.2">
      <c r="A395"/>
      <c r="B395"/>
      <c r="C395"/>
    </row>
    <row r="396" spans="1:3" x14ac:dyDescent="0.2">
      <c r="A396"/>
      <c r="B396"/>
      <c r="C396"/>
    </row>
    <row r="397" spans="1:3" x14ac:dyDescent="0.2">
      <c r="A397"/>
      <c r="B397"/>
      <c r="C397"/>
    </row>
    <row r="398" spans="1:3" x14ac:dyDescent="0.2">
      <c r="A398"/>
      <c r="B398"/>
      <c r="C398"/>
    </row>
    <row r="399" spans="1:3" x14ac:dyDescent="0.2">
      <c r="A399"/>
      <c r="B399"/>
      <c r="C399"/>
    </row>
    <row r="400" spans="1:3" x14ac:dyDescent="0.2">
      <c r="A400"/>
      <c r="B400"/>
      <c r="C400"/>
    </row>
    <row r="401" spans="1:3" x14ac:dyDescent="0.2">
      <c r="A401"/>
      <c r="B401"/>
      <c r="C401"/>
    </row>
    <row r="402" spans="1:3" x14ac:dyDescent="0.2">
      <c r="A402"/>
      <c r="B402"/>
      <c r="C402"/>
    </row>
    <row r="403" spans="1:3" x14ac:dyDescent="0.2">
      <c r="A403"/>
      <c r="B403"/>
      <c r="C403"/>
    </row>
    <row r="404" spans="1:3" x14ac:dyDescent="0.2">
      <c r="A404"/>
      <c r="B404"/>
      <c r="C404"/>
    </row>
    <row r="405" spans="1:3" x14ac:dyDescent="0.2">
      <c r="A405"/>
      <c r="B405"/>
      <c r="C405"/>
    </row>
    <row r="406" spans="1:3" x14ac:dyDescent="0.2">
      <c r="A406"/>
      <c r="B406"/>
      <c r="C406"/>
    </row>
    <row r="407" spans="1:3" x14ac:dyDescent="0.2">
      <c r="A407"/>
      <c r="B407"/>
      <c r="C407"/>
    </row>
    <row r="408" spans="1:3" x14ac:dyDescent="0.2">
      <c r="A408"/>
      <c r="B408"/>
      <c r="C408"/>
    </row>
    <row r="409" spans="1:3" x14ac:dyDescent="0.2">
      <c r="A409"/>
      <c r="B409"/>
      <c r="C409"/>
    </row>
    <row r="410" spans="1:3" x14ac:dyDescent="0.2">
      <c r="A410"/>
      <c r="B410"/>
      <c r="C410"/>
    </row>
    <row r="411" spans="1:3" x14ac:dyDescent="0.2">
      <c r="A411"/>
      <c r="B411"/>
      <c r="C411"/>
    </row>
    <row r="412" spans="1:3" x14ac:dyDescent="0.2">
      <c r="A412"/>
      <c r="B412"/>
      <c r="C412"/>
    </row>
    <row r="413" spans="1:3" x14ac:dyDescent="0.2">
      <c r="A413"/>
      <c r="B413"/>
      <c r="C413"/>
    </row>
    <row r="414" spans="1:3" x14ac:dyDescent="0.2">
      <c r="A414"/>
      <c r="B414"/>
      <c r="C414"/>
    </row>
    <row r="415" spans="1:3" x14ac:dyDescent="0.2">
      <c r="A415"/>
      <c r="B415"/>
      <c r="C415"/>
    </row>
    <row r="416" spans="1:3" x14ac:dyDescent="0.2">
      <c r="A416"/>
      <c r="B416"/>
      <c r="C416"/>
    </row>
    <row r="417" spans="1:3" x14ac:dyDescent="0.2">
      <c r="A417"/>
      <c r="B417"/>
      <c r="C417"/>
    </row>
    <row r="418" spans="1:3" x14ac:dyDescent="0.2">
      <c r="A418"/>
      <c r="B418"/>
      <c r="C418"/>
    </row>
    <row r="419" spans="1:3" x14ac:dyDescent="0.2">
      <c r="A419"/>
      <c r="B419"/>
      <c r="C419"/>
    </row>
    <row r="420" spans="1:3" x14ac:dyDescent="0.2">
      <c r="A420"/>
      <c r="B420"/>
      <c r="C420"/>
    </row>
    <row r="421" spans="1:3" x14ac:dyDescent="0.2">
      <c r="A421"/>
      <c r="B421"/>
      <c r="C421"/>
    </row>
    <row r="422" spans="1:3" x14ac:dyDescent="0.2">
      <c r="A422"/>
      <c r="B422"/>
      <c r="C422"/>
    </row>
    <row r="423" spans="1:3" x14ac:dyDescent="0.2">
      <c r="A423"/>
      <c r="B423"/>
      <c r="C423"/>
    </row>
    <row r="424" spans="1:3" x14ac:dyDescent="0.2">
      <c r="A424"/>
      <c r="B424"/>
      <c r="C424"/>
    </row>
    <row r="425" spans="1:3" x14ac:dyDescent="0.2">
      <c r="A425"/>
      <c r="B425"/>
      <c r="C425"/>
    </row>
    <row r="426" spans="1:3" x14ac:dyDescent="0.2">
      <c r="A426"/>
      <c r="B426"/>
      <c r="C426"/>
    </row>
    <row r="427" spans="1:3" x14ac:dyDescent="0.2">
      <c r="A427"/>
      <c r="B427"/>
      <c r="C427"/>
    </row>
    <row r="428" spans="1:3" x14ac:dyDescent="0.2">
      <c r="A428"/>
      <c r="B428"/>
      <c r="C428"/>
    </row>
    <row r="429" spans="1:3" x14ac:dyDescent="0.2">
      <c r="A429"/>
      <c r="B429"/>
      <c r="C429"/>
    </row>
    <row r="430" spans="1:3" x14ac:dyDescent="0.2">
      <c r="A430"/>
      <c r="B430"/>
      <c r="C430"/>
    </row>
    <row r="431" spans="1:3" x14ac:dyDescent="0.2">
      <c r="A431"/>
      <c r="B431"/>
      <c r="C431"/>
    </row>
    <row r="432" spans="1:3" x14ac:dyDescent="0.2">
      <c r="A432"/>
      <c r="B432"/>
      <c r="C432"/>
    </row>
    <row r="433" spans="1:3" x14ac:dyDescent="0.2">
      <c r="A433"/>
      <c r="B433"/>
      <c r="C433"/>
    </row>
    <row r="434" spans="1:3" x14ac:dyDescent="0.2">
      <c r="A434"/>
      <c r="B434"/>
      <c r="C434"/>
    </row>
    <row r="435" spans="1:3" x14ac:dyDescent="0.2">
      <c r="A435"/>
      <c r="B435"/>
      <c r="C435"/>
    </row>
    <row r="436" spans="1:3" x14ac:dyDescent="0.2">
      <c r="A436"/>
      <c r="B436"/>
      <c r="C436"/>
    </row>
    <row r="437" spans="1:3" x14ac:dyDescent="0.2">
      <c r="A437"/>
      <c r="B437"/>
      <c r="C437"/>
    </row>
    <row r="438" spans="1:3" x14ac:dyDescent="0.2">
      <c r="A438"/>
      <c r="B438"/>
      <c r="C438"/>
    </row>
    <row r="439" spans="1:3" x14ac:dyDescent="0.2">
      <c r="A439"/>
      <c r="B439"/>
      <c r="C439"/>
    </row>
    <row r="440" spans="1:3" x14ac:dyDescent="0.2">
      <c r="A440"/>
      <c r="B440"/>
      <c r="C440"/>
    </row>
    <row r="441" spans="1:3" x14ac:dyDescent="0.2">
      <c r="A441"/>
      <c r="B441"/>
      <c r="C441"/>
    </row>
    <row r="442" spans="1:3" x14ac:dyDescent="0.2">
      <c r="A442"/>
      <c r="B442"/>
      <c r="C442"/>
    </row>
    <row r="443" spans="1:3" x14ac:dyDescent="0.2">
      <c r="A443"/>
      <c r="B443"/>
      <c r="C443"/>
    </row>
    <row r="444" spans="1:3" x14ac:dyDescent="0.2">
      <c r="A444"/>
      <c r="B444"/>
      <c r="C444"/>
    </row>
    <row r="445" spans="1:3" x14ac:dyDescent="0.2">
      <c r="A445"/>
      <c r="B445"/>
      <c r="C445"/>
    </row>
    <row r="446" spans="1:3" x14ac:dyDescent="0.2">
      <c r="A446"/>
      <c r="B446"/>
      <c r="C446"/>
    </row>
    <row r="447" spans="1:3" x14ac:dyDescent="0.2">
      <c r="A447"/>
      <c r="B447"/>
      <c r="C447"/>
    </row>
    <row r="448" spans="1:3" x14ac:dyDescent="0.2">
      <c r="A448"/>
      <c r="B448"/>
      <c r="C448"/>
    </row>
    <row r="449" spans="1:3" x14ac:dyDescent="0.2">
      <c r="A449"/>
      <c r="B449"/>
      <c r="C449"/>
    </row>
    <row r="450" spans="1:3" x14ac:dyDescent="0.2">
      <c r="A450"/>
      <c r="B450"/>
      <c r="C450"/>
    </row>
    <row r="451" spans="1:3" x14ac:dyDescent="0.2">
      <c r="A451"/>
      <c r="B451"/>
      <c r="C451"/>
    </row>
    <row r="452" spans="1:3" x14ac:dyDescent="0.2">
      <c r="A452"/>
      <c r="B452"/>
      <c r="C452"/>
    </row>
    <row r="453" spans="1:3" x14ac:dyDescent="0.2">
      <c r="A453"/>
      <c r="B453"/>
      <c r="C453"/>
    </row>
    <row r="454" spans="1:3" x14ac:dyDescent="0.2">
      <c r="A454"/>
      <c r="B454"/>
      <c r="C454"/>
    </row>
    <row r="455" spans="1:3" x14ac:dyDescent="0.2">
      <c r="A455"/>
      <c r="B455"/>
      <c r="C455"/>
    </row>
    <row r="456" spans="1:3" x14ac:dyDescent="0.2">
      <c r="A456"/>
      <c r="B456"/>
      <c r="C456"/>
    </row>
    <row r="457" spans="1:3" x14ac:dyDescent="0.2">
      <c r="A457"/>
      <c r="B457"/>
      <c r="C457"/>
    </row>
    <row r="458" spans="1:3" x14ac:dyDescent="0.2">
      <c r="A458"/>
      <c r="B458"/>
      <c r="C458"/>
    </row>
    <row r="459" spans="1:3" x14ac:dyDescent="0.2">
      <c r="A459"/>
      <c r="B459"/>
      <c r="C459"/>
    </row>
    <row r="460" spans="1:3" x14ac:dyDescent="0.2">
      <c r="A460"/>
      <c r="B460"/>
      <c r="C460"/>
    </row>
    <row r="461" spans="1:3" x14ac:dyDescent="0.2">
      <c r="A461"/>
      <c r="B461"/>
      <c r="C461"/>
    </row>
    <row r="462" spans="1:3" x14ac:dyDescent="0.2">
      <c r="A462"/>
      <c r="B462"/>
      <c r="C462"/>
    </row>
    <row r="463" spans="1:3" x14ac:dyDescent="0.2">
      <c r="A463"/>
      <c r="B463"/>
      <c r="C463"/>
    </row>
    <row r="464" spans="1:3" x14ac:dyDescent="0.2">
      <c r="A464"/>
      <c r="B464"/>
      <c r="C464"/>
    </row>
    <row r="465" spans="1:3" x14ac:dyDescent="0.2">
      <c r="A465"/>
      <c r="B465"/>
      <c r="C465"/>
    </row>
    <row r="466" spans="1:3" x14ac:dyDescent="0.2">
      <c r="A466"/>
      <c r="B466"/>
      <c r="C466"/>
    </row>
    <row r="467" spans="1:3" x14ac:dyDescent="0.2">
      <c r="A467"/>
      <c r="B467"/>
      <c r="C467"/>
    </row>
    <row r="468" spans="1:3" x14ac:dyDescent="0.2">
      <c r="A468"/>
      <c r="B468"/>
      <c r="C468"/>
    </row>
    <row r="469" spans="1:3" x14ac:dyDescent="0.2">
      <c r="A469"/>
      <c r="B469"/>
      <c r="C469"/>
    </row>
    <row r="470" spans="1:3" x14ac:dyDescent="0.2">
      <c r="A470"/>
      <c r="B470"/>
      <c r="C470"/>
    </row>
    <row r="471" spans="1:3" x14ac:dyDescent="0.2">
      <c r="A471"/>
      <c r="B471"/>
      <c r="C471"/>
    </row>
    <row r="472" spans="1:3" x14ac:dyDescent="0.2">
      <c r="A472"/>
      <c r="B472"/>
      <c r="C472"/>
    </row>
    <row r="473" spans="1:3" x14ac:dyDescent="0.2">
      <c r="A473"/>
      <c r="B473"/>
      <c r="C473"/>
    </row>
    <row r="474" spans="1:3" x14ac:dyDescent="0.2">
      <c r="A474"/>
      <c r="B474"/>
      <c r="C474"/>
    </row>
    <row r="475" spans="1:3" x14ac:dyDescent="0.2">
      <c r="A475"/>
      <c r="B475"/>
      <c r="C475"/>
    </row>
    <row r="476" spans="1:3" x14ac:dyDescent="0.2">
      <c r="A476"/>
      <c r="B476"/>
      <c r="C476"/>
    </row>
    <row r="477" spans="1:3" x14ac:dyDescent="0.2">
      <c r="A477"/>
      <c r="B477"/>
      <c r="C477"/>
    </row>
    <row r="478" spans="1:3" x14ac:dyDescent="0.2">
      <c r="A478"/>
      <c r="B478"/>
      <c r="C478"/>
    </row>
    <row r="479" spans="1:3" x14ac:dyDescent="0.2">
      <c r="A479"/>
      <c r="B479"/>
      <c r="C479"/>
    </row>
    <row r="480" spans="1:3" x14ac:dyDescent="0.2">
      <c r="A480"/>
      <c r="B480"/>
      <c r="C480"/>
    </row>
    <row r="481" spans="1:3" x14ac:dyDescent="0.2">
      <c r="A481"/>
      <c r="B481"/>
      <c r="C481"/>
    </row>
    <row r="482" spans="1:3" x14ac:dyDescent="0.2">
      <c r="A482"/>
      <c r="B482"/>
      <c r="C482"/>
    </row>
    <row r="483" spans="1:3" x14ac:dyDescent="0.2">
      <c r="A483"/>
      <c r="B483"/>
      <c r="C483"/>
    </row>
    <row r="484" spans="1:3" x14ac:dyDescent="0.2">
      <c r="A484"/>
      <c r="B484"/>
      <c r="C484"/>
    </row>
    <row r="485" spans="1:3" x14ac:dyDescent="0.2">
      <c r="A485"/>
      <c r="B485"/>
      <c r="C485"/>
    </row>
    <row r="486" spans="1:3" x14ac:dyDescent="0.2">
      <c r="A486"/>
      <c r="B486"/>
      <c r="C486"/>
    </row>
    <row r="487" spans="1:3" x14ac:dyDescent="0.2">
      <c r="A487"/>
      <c r="B487"/>
      <c r="C487"/>
    </row>
    <row r="488" spans="1:3" x14ac:dyDescent="0.2">
      <c r="A488"/>
      <c r="B488"/>
      <c r="C488"/>
    </row>
    <row r="489" spans="1:3" x14ac:dyDescent="0.2">
      <c r="A489"/>
      <c r="B489"/>
      <c r="C489"/>
    </row>
    <row r="490" spans="1:3" x14ac:dyDescent="0.2">
      <c r="A490"/>
      <c r="B490"/>
      <c r="C490"/>
    </row>
    <row r="491" spans="1:3" x14ac:dyDescent="0.2">
      <c r="A491"/>
      <c r="B491"/>
      <c r="C491"/>
    </row>
    <row r="492" spans="1:3" x14ac:dyDescent="0.2">
      <c r="A492"/>
      <c r="B492"/>
      <c r="C492"/>
    </row>
    <row r="493" spans="1:3" x14ac:dyDescent="0.2">
      <c r="A493"/>
      <c r="B493"/>
      <c r="C493"/>
    </row>
    <row r="494" spans="1:3" x14ac:dyDescent="0.2">
      <c r="A494"/>
      <c r="B494"/>
      <c r="C494"/>
    </row>
    <row r="495" spans="1:3" x14ac:dyDescent="0.2">
      <c r="A495"/>
      <c r="B495"/>
      <c r="C495"/>
    </row>
    <row r="496" spans="1:3" x14ac:dyDescent="0.2">
      <c r="A496"/>
      <c r="B496"/>
      <c r="C496"/>
    </row>
    <row r="497" spans="1:3" x14ac:dyDescent="0.2">
      <c r="A497"/>
      <c r="B497"/>
      <c r="C497"/>
    </row>
    <row r="498" spans="1:3" x14ac:dyDescent="0.2">
      <c r="A498"/>
      <c r="B498"/>
      <c r="C498"/>
    </row>
    <row r="499" spans="1:3" x14ac:dyDescent="0.2">
      <c r="A499"/>
      <c r="B499"/>
      <c r="C499"/>
    </row>
    <row r="500" spans="1:3" x14ac:dyDescent="0.2">
      <c r="A500"/>
      <c r="B500"/>
      <c r="C500"/>
    </row>
    <row r="501" spans="1:3" x14ac:dyDescent="0.2">
      <c r="A501"/>
      <c r="B501"/>
      <c r="C501"/>
    </row>
    <row r="502" spans="1:3" x14ac:dyDescent="0.2">
      <c r="A502"/>
      <c r="B502"/>
      <c r="C502"/>
    </row>
    <row r="503" spans="1:3" x14ac:dyDescent="0.2">
      <c r="A503"/>
      <c r="B503"/>
      <c r="C503"/>
    </row>
    <row r="504" spans="1:3" x14ac:dyDescent="0.2">
      <c r="A504"/>
      <c r="B504"/>
      <c r="C504"/>
    </row>
    <row r="505" spans="1:3" x14ac:dyDescent="0.2">
      <c r="A505"/>
      <c r="B505"/>
      <c r="C505"/>
    </row>
    <row r="506" spans="1:3" x14ac:dyDescent="0.2">
      <c r="A506"/>
      <c r="B506"/>
      <c r="C506"/>
    </row>
    <row r="507" spans="1:3" x14ac:dyDescent="0.2">
      <c r="A507"/>
      <c r="B507"/>
      <c r="C507"/>
    </row>
    <row r="508" spans="1:3" x14ac:dyDescent="0.2">
      <c r="A508"/>
      <c r="B508"/>
      <c r="C508"/>
    </row>
    <row r="509" spans="1:3" x14ac:dyDescent="0.2">
      <c r="A509"/>
      <c r="B509"/>
      <c r="C509"/>
    </row>
    <row r="510" spans="1:3" x14ac:dyDescent="0.2">
      <c r="A510"/>
      <c r="B510"/>
      <c r="C510"/>
    </row>
    <row r="511" spans="1:3" x14ac:dyDescent="0.2">
      <c r="A511"/>
      <c r="B511"/>
      <c r="C511"/>
    </row>
    <row r="512" spans="1:3" x14ac:dyDescent="0.2">
      <c r="A512"/>
      <c r="B512"/>
      <c r="C512"/>
    </row>
    <row r="513" spans="1:3" x14ac:dyDescent="0.2">
      <c r="A513"/>
      <c r="B513"/>
      <c r="C513"/>
    </row>
    <row r="514" spans="1:3" x14ac:dyDescent="0.2">
      <c r="A514"/>
      <c r="B514"/>
      <c r="C514"/>
    </row>
    <row r="515" spans="1:3" x14ac:dyDescent="0.2">
      <c r="A515"/>
      <c r="B515"/>
      <c r="C515"/>
    </row>
    <row r="516" spans="1:3" x14ac:dyDescent="0.2">
      <c r="A516"/>
      <c r="B516"/>
      <c r="C516"/>
    </row>
    <row r="517" spans="1:3" x14ac:dyDescent="0.2">
      <c r="A517"/>
      <c r="B517"/>
      <c r="C517"/>
    </row>
    <row r="518" spans="1:3" x14ac:dyDescent="0.2">
      <c r="A518"/>
      <c r="B518"/>
      <c r="C518"/>
    </row>
    <row r="519" spans="1:3" x14ac:dyDescent="0.2">
      <c r="A519"/>
      <c r="B519"/>
      <c r="C519"/>
    </row>
    <row r="520" spans="1:3" x14ac:dyDescent="0.2">
      <c r="A520"/>
      <c r="B520"/>
      <c r="C520"/>
    </row>
    <row r="521" spans="1:3" x14ac:dyDescent="0.2">
      <c r="A521"/>
      <c r="B521"/>
      <c r="C521"/>
    </row>
    <row r="522" spans="1:3" x14ac:dyDescent="0.2">
      <c r="A522"/>
      <c r="B522"/>
      <c r="C522"/>
    </row>
    <row r="523" spans="1:3" x14ac:dyDescent="0.2">
      <c r="A523"/>
      <c r="B523"/>
      <c r="C523"/>
    </row>
    <row r="524" spans="1:3" x14ac:dyDescent="0.2">
      <c r="A524"/>
      <c r="B524"/>
      <c r="C524"/>
    </row>
    <row r="525" spans="1:3" x14ac:dyDescent="0.2">
      <c r="A525"/>
      <c r="B525"/>
      <c r="C525"/>
    </row>
    <row r="526" spans="1:3" x14ac:dyDescent="0.2">
      <c r="A526"/>
      <c r="B526"/>
      <c r="C526"/>
    </row>
    <row r="527" spans="1:3" x14ac:dyDescent="0.2">
      <c r="A527"/>
      <c r="B527"/>
      <c r="C527"/>
    </row>
    <row r="528" spans="1:3" x14ac:dyDescent="0.2">
      <c r="A528"/>
      <c r="B528"/>
      <c r="C528"/>
    </row>
    <row r="529" spans="1:3" x14ac:dyDescent="0.2">
      <c r="A529"/>
      <c r="B529"/>
      <c r="C529"/>
    </row>
    <row r="530" spans="1:3" x14ac:dyDescent="0.2">
      <c r="A530"/>
      <c r="B530"/>
      <c r="C530"/>
    </row>
    <row r="531" spans="1:3" x14ac:dyDescent="0.2">
      <c r="A531"/>
      <c r="B531"/>
      <c r="C531"/>
    </row>
    <row r="532" spans="1:3" x14ac:dyDescent="0.2">
      <c r="A532"/>
      <c r="B532"/>
      <c r="C532"/>
    </row>
    <row r="533" spans="1:3" x14ac:dyDescent="0.2">
      <c r="A533"/>
      <c r="B533"/>
      <c r="C533"/>
    </row>
    <row r="534" spans="1:3" x14ac:dyDescent="0.2">
      <c r="A534"/>
      <c r="B534"/>
      <c r="C534"/>
    </row>
    <row r="535" spans="1:3" x14ac:dyDescent="0.2">
      <c r="A535"/>
      <c r="B535"/>
      <c r="C535"/>
    </row>
    <row r="536" spans="1:3" x14ac:dyDescent="0.2">
      <c r="A536"/>
      <c r="B536"/>
      <c r="C536"/>
    </row>
    <row r="537" spans="1:3" x14ac:dyDescent="0.2">
      <c r="A537"/>
      <c r="B537"/>
      <c r="C537"/>
    </row>
    <row r="538" spans="1:3" x14ac:dyDescent="0.2">
      <c r="A538"/>
      <c r="B538"/>
      <c r="C538"/>
    </row>
    <row r="539" spans="1:3" x14ac:dyDescent="0.2">
      <c r="A539"/>
      <c r="B539"/>
      <c r="C539"/>
    </row>
    <row r="540" spans="1:3" x14ac:dyDescent="0.2">
      <c r="A540"/>
      <c r="B540"/>
      <c r="C540"/>
    </row>
    <row r="541" spans="1:3" x14ac:dyDescent="0.2">
      <c r="A541"/>
      <c r="B541"/>
      <c r="C541"/>
    </row>
    <row r="542" spans="1:3" x14ac:dyDescent="0.2">
      <c r="A542"/>
      <c r="B542"/>
      <c r="C542"/>
    </row>
    <row r="543" spans="1:3" x14ac:dyDescent="0.2">
      <c r="A543"/>
      <c r="B543"/>
      <c r="C543"/>
    </row>
    <row r="544" spans="1:3" x14ac:dyDescent="0.2">
      <c r="A544"/>
      <c r="B544"/>
      <c r="C544"/>
    </row>
    <row r="545" spans="1:3" x14ac:dyDescent="0.2">
      <c r="A545"/>
      <c r="B545"/>
      <c r="C545"/>
    </row>
    <row r="546" spans="1:3" x14ac:dyDescent="0.2">
      <c r="A546"/>
      <c r="B546"/>
      <c r="C546"/>
    </row>
    <row r="547" spans="1:3" x14ac:dyDescent="0.2">
      <c r="A547"/>
      <c r="B547"/>
      <c r="C547"/>
    </row>
    <row r="548" spans="1:3" x14ac:dyDescent="0.2">
      <c r="A548"/>
      <c r="B548"/>
      <c r="C548"/>
    </row>
    <row r="549" spans="1:3" x14ac:dyDescent="0.2">
      <c r="A549"/>
      <c r="B549"/>
      <c r="C549"/>
    </row>
    <row r="550" spans="1:3" x14ac:dyDescent="0.2">
      <c r="A550"/>
      <c r="B550"/>
      <c r="C550"/>
    </row>
    <row r="551" spans="1:3" x14ac:dyDescent="0.2">
      <c r="A551"/>
      <c r="B551"/>
      <c r="C551"/>
    </row>
    <row r="552" spans="1:3" x14ac:dyDescent="0.2">
      <c r="A552"/>
      <c r="B552"/>
      <c r="C552"/>
    </row>
    <row r="553" spans="1:3" x14ac:dyDescent="0.2">
      <c r="A553"/>
      <c r="B553"/>
      <c r="C553"/>
    </row>
    <row r="554" spans="1:3" x14ac:dyDescent="0.2">
      <c r="A554"/>
      <c r="B554"/>
      <c r="C554"/>
    </row>
    <row r="555" spans="1:3" x14ac:dyDescent="0.2">
      <c r="A555"/>
      <c r="B555"/>
      <c r="C555"/>
    </row>
    <row r="556" spans="1:3" x14ac:dyDescent="0.2">
      <c r="A556"/>
      <c r="B556"/>
      <c r="C556"/>
    </row>
    <row r="557" spans="1:3" x14ac:dyDescent="0.2">
      <c r="A557"/>
      <c r="B557"/>
      <c r="C557"/>
    </row>
    <row r="558" spans="1:3" x14ac:dyDescent="0.2">
      <c r="A558"/>
      <c r="B558"/>
      <c r="C558"/>
    </row>
    <row r="559" spans="1:3" x14ac:dyDescent="0.2">
      <c r="A559"/>
      <c r="B559"/>
      <c r="C559"/>
    </row>
    <row r="560" spans="1:3" x14ac:dyDescent="0.2">
      <c r="A560"/>
      <c r="B560"/>
      <c r="C560"/>
    </row>
    <row r="561" spans="1:3" x14ac:dyDescent="0.2">
      <c r="A561"/>
      <c r="B561"/>
      <c r="C561"/>
    </row>
    <row r="562" spans="1:3" x14ac:dyDescent="0.2">
      <c r="A562"/>
      <c r="B562"/>
      <c r="C562"/>
    </row>
    <row r="563" spans="1:3" x14ac:dyDescent="0.2">
      <c r="A563"/>
      <c r="B563"/>
      <c r="C563"/>
    </row>
    <row r="564" spans="1:3" x14ac:dyDescent="0.2">
      <c r="A564"/>
      <c r="B564"/>
      <c r="C564"/>
    </row>
    <row r="565" spans="1:3" x14ac:dyDescent="0.2">
      <c r="A565"/>
      <c r="B565"/>
      <c r="C565"/>
    </row>
    <row r="566" spans="1:3" x14ac:dyDescent="0.2">
      <c r="A566"/>
      <c r="B566"/>
      <c r="C566"/>
    </row>
    <row r="567" spans="1:3" x14ac:dyDescent="0.2">
      <c r="A567"/>
      <c r="B567"/>
      <c r="C567"/>
    </row>
    <row r="568" spans="1:3" x14ac:dyDescent="0.2">
      <c r="A568"/>
      <c r="B568"/>
      <c r="C568"/>
    </row>
    <row r="569" spans="1:3" x14ac:dyDescent="0.2">
      <c r="A569"/>
      <c r="B569"/>
      <c r="C569"/>
    </row>
    <row r="570" spans="1:3" x14ac:dyDescent="0.2">
      <c r="A570"/>
      <c r="B570"/>
      <c r="C570"/>
    </row>
    <row r="571" spans="1:3" x14ac:dyDescent="0.2">
      <c r="A571"/>
      <c r="B571"/>
      <c r="C571"/>
    </row>
    <row r="572" spans="1:3" x14ac:dyDescent="0.2">
      <c r="A572"/>
      <c r="B572"/>
      <c r="C572"/>
    </row>
    <row r="573" spans="1:3" x14ac:dyDescent="0.2">
      <c r="A573"/>
      <c r="B573"/>
      <c r="C573"/>
    </row>
    <row r="574" spans="1:3" x14ac:dyDescent="0.2">
      <c r="A574"/>
      <c r="B574"/>
      <c r="C574"/>
    </row>
    <row r="575" spans="1:3" x14ac:dyDescent="0.2">
      <c r="A575"/>
      <c r="B575"/>
      <c r="C575"/>
    </row>
    <row r="576" spans="1:3" x14ac:dyDescent="0.2">
      <c r="A576"/>
      <c r="B576"/>
      <c r="C576"/>
    </row>
    <row r="577" spans="1:3" x14ac:dyDescent="0.2">
      <c r="A577"/>
      <c r="B577"/>
      <c r="C577"/>
    </row>
    <row r="578" spans="1:3" x14ac:dyDescent="0.2">
      <c r="A578"/>
      <c r="B578"/>
      <c r="C578"/>
    </row>
    <row r="579" spans="1:3" x14ac:dyDescent="0.2">
      <c r="A579"/>
      <c r="B579"/>
      <c r="C579"/>
    </row>
    <row r="580" spans="1:3" x14ac:dyDescent="0.2">
      <c r="A580"/>
      <c r="B580"/>
      <c r="C580"/>
    </row>
    <row r="581" spans="1:3" x14ac:dyDescent="0.2">
      <c r="A581"/>
      <c r="B581"/>
      <c r="C581"/>
    </row>
    <row r="582" spans="1:3" x14ac:dyDescent="0.2">
      <c r="A582"/>
      <c r="B582"/>
      <c r="C582"/>
    </row>
    <row r="583" spans="1:3" x14ac:dyDescent="0.2">
      <c r="A583"/>
      <c r="B583"/>
      <c r="C583"/>
    </row>
    <row r="584" spans="1:3" x14ac:dyDescent="0.2">
      <c r="A584"/>
      <c r="B584"/>
      <c r="C584"/>
    </row>
    <row r="585" spans="1:3" x14ac:dyDescent="0.2">
      <c r="A585"/>
      <c r="B585"/>
      <c r="C585"/>
    </row>
    <row r="586" spans="1:3" x14ac:dyDescent="0.2">
      <c r="A586"/>
      <c r="B586"/>
      <c r="C586"/>
    </row>
    <row r="587" spans="1:3" x14ac:dyDescent="0.2">
      <c r="A587"/>
      <c r="B587"/>
      <c r="C587"/>
    </row>
    <row r="588" spans="1:3" x14ac:dyDescent="0.2">
      <c r="A588"/>
      <c r="B588"/>
      <c r="C588"/>
    </row>
    <row r="589" spans="1:3" x14ac:dyDescent="0.2">
      <c r="A589"/>
      <c r="B589"/>
      <c r="C589"/>
    </row>
    <row r="590" spans="1:3" x14ac:dyDescent="0.2">
      <c r="A590"/>
      <c r="B590"/>
      <c r="C590"/>
    </row>
    <row r="591" spans="1:3" x14ac:dyDescent="0.2">
      <c r="A591"/>
      <c r="B591"/>
      <c r="C591"/>
    </row>
    <row r="592" spans="1:3" x14ac:dyDescent="0.2">
      <c r="A592"/>
      <c r="B592"/>
      <c r="C592"/>
    </row>
    <row r="593" spans="1:3" x14ac:dyDescent="0.2">
      <c r="A593"/>
      <c r="B593"/>
      <c r="C593"/>
    </row>
    <row r="594" spans="1:3" x14ac:dyDescent="0.2">
      <c r="A594"/>
      <c r="B594"/>
      <c r="C594"/>
    </row>
    <row r="595" spans="1:3" x14ac:dyDescent="0.2">
      <c r="A595"/>
      <c r="B595"/>
      <c r="C595"/>
    </row>
    <row r="596" spans="1:3" x14ac:dyDescent="0.2">
      <c r="A596"/>
      <c r="B596"/>
      <c r="C596"/>
    </row>
    <row r="597" spans="1:3" x14ac:dyDescent="0.2">
      <c r="A597"/>
      <c r="B597"/>
      <c r="C597"/>
    </row>
    <row r="598" spans="1:3" x14ac:dyDescent="0.2">
      <c r="A598"/>
      <c r="B598"/>
      <c r="C598"/>
    </row>
    <row r="599" spans="1:3" x14ac:dyDescent="0.2">
      <c r="A599"/>
      <c r="B599"/>
      <c r="C599"/>
    </row>
    <row r="600" spans="1:3" x14ac:dyDescent="0.2">
      <c r="A600"/>
      <c r="B600"/>
      <c r="C600"/>
    </row>
    <row r="601" spans="1:3" x14ac:dyDescent="0.2">
      <c r="A601"/>
      <c r="B601"/>
      <c r="C601"/>
    </row>
    <row r="602" spans="1:3" x14ac:dyDescent="0.2">
      <c r="A602"/>
      <c r="B602"/>
      <c r="C602"/>
    </row>
    <row r="603" spans="1:3" x14ac:dyDescent="0.2">
      <c r="A603"/>
      <c r="B603"/>
      <c r="C603"/>
    </row>
    <row r="604" spans="1:3" x14ac:dyDescent="0.2">
      <c r="A604"/>
      <c r="B604"/>
      <c r="C604"/>
    </row>
    <row r="605" spans="1:3" x14ac:dyDescent="0.2">
      <c r="A605"/>
      <c r="B605"/>
      <c r="C605"/>
    </row>
    <row r="606" spans="1:3" x14ac:dyDescent="0.2">
      <c r="A606"/>
      <c r="B606"/>
      <c r="C606"/>
    </row>
    <row r="607" spans="1:3" x14ac:dyDescent="0.2">
      <c r="A607"/>
      <c r="B607"/>
      <c r="C607"/>
    </row>
    <row r="608" spans="1:3" x14ac:dyDescent="0.2">
      <c r="A608"/>
      <c r="B608"/>
      <c r="C608"/>
    </row>
    <row r="609" spans="1:3" x14ac:dyDescent="0.2">
      <c r="A609"/>
      <c r="B609"/>
      <c r="C609"/>
    </row>
    <row r="610" spans="1:3" x14ac:dyDescent="0.2">
      <c r="A610"/>
      <c r="B610"/>
      <c r="C610"/>
    </row>
    <row r="611" spans="1:3" x14ac:dyDescent="0.2">
      <c r="A611"/>
      <c r="B611"/>
      <c r="C611"/>
    </row>
    <row r="612" spans="1:3" x14ac:dyDescent="0.2">
      <c r="A612"/>
      <c r="B612"/>
      <c r="C612"/>
    </row>
    <row r="613" spans="1:3" x14ac:dyDescent="0.2">
      <c r="A613"/>
      <c r="B613"/>
      <c r="C613"/>
    </row>
    <row r="614" spans="1:3" x14ac:dyDescent="0.2">
      <c r="A614"/>
      <c r="B614"/>
      <c r="C614"/>
    </row>
    <row r="615" spans="1:3" x14ac:dyDescent="0.2">
      <c r="A615"/>
      <c r="B615"/>
      <c r="C615"/>
    </row>
    <row r="616" spans="1:3" x14ac:dyDescent="0.2">
      <c r="A616"/>
      <c r="B616"/>
      <c r="C616"/>
    </row>
    <row r="617" spans="1:3" x14ac:dyDescent="0.2">
      <c r="A617"/>
      <c r="B617"/>
      <c r="C617"/>
    </row>
    <row r="618" spans="1:3" x14ac:dyDescent="0.2">
      <c r="A618"/>
      <c r="B618"/>
      <c r="C618"/>
    </row>
    <row r="619" spans="1:3" x14ac:dyDescent="0.2">
      <c r="A619"/>
      <c r="B619"/>
      <c r="C619"/>
    </row>
    <row r="620" spans="1:3" x14ac:dyDescent="0.2">
      <c r="A620"/>
      <c r="B620"/>
      <c r="C620"/>
    </row>
    <row r="621" spans="1:3" x14ac:dyDescent="0.2">
      <c r="A621"/>
      <c r="B621"/>
      <c r="C621"/>
    </row>
    <row r="622" spans="1:3" x14ac:dyDescent="0.2">
      <c r="A622"/>
      <c r="B622"/>
      <c r="C622"/>
    </row>
    <row r="623" spans="1:3" x14ac:dyDescent="0.2">
      <c r="A623"/>
      <c r="B623"/>
      <c r="C623"/>
    </row>
    <row r="624" spans="1:3" x14ac:dyDescent="0.2">
      <c r="A624"/>
      <c r="B624"/>
      <c r="C624"/>
    </row>
    <row r="625" spans="1:3" x14ac:dyDescent="0.2">
      <c r="A625"/>
      <c r="B625"/>
      <c r="C625"/>
    </row>
    <row r="626" spans="1:3" x14ac:dyDescent="0.2">
      <c r="A626"/>
      <c r="B626"/>
      <c r="C626"/>
    </row>
    <row r="627" spans="1:3" x14ac:dyDescent="0.2">
      <c r="A627"/>
      <c r="B627"/>
      <c r="C627"/>
    </row>
    <row r="628" spans="1:3" x14ac:dyDescent="0.2">
      <c r="A628"/>
      <c r="B628"/>
      <c r="C628"/>
    </row>
    <row r="629" spans="1:3" x14ac:dyDescent="0.2">
      <c r="A629"/>
      <c r="B629"/>
      <c r="C629"/>
    </row>
    <row r="630" spans="1:3" x14ac:dyDescent="0.2">
      <c r="A630"/>
      <c r="B630"/>
      <c r="C630"/>
    </row>
    <row r="631" spans="1:3" x14ac:dyDescent="0.2">
      <c r="A631"/>
      <c r="B631"/>
      <c r="C631"/>
    </row>
    <row r="632" spans="1:3" x14ac:dyDescent="0.2">
      <c r="A632"/>
      <c r="B632"/>
      <c r="C632"/>
    </row>
    <row r="633" spans="1:3" x14ac:dyDescent="0.2">
      <c r="A633"/>
      <c r="B633"/>
      <c r="C633"/>
    </row>
    <row r="634" spans="1:3" x14ac:dyDescent="0.2">
      <c r="A634"/>
      <c r="B634"/>
      <c r="C634"/>
    </row>
    <row r="635" spans="1:3" x14ac:dyDescent="0.2">
      <c r="A635"/>
      <c r="B635"/>
      <c r="C635"/>
    </row>
    <row r="636" spans="1:3" x14ac:dyDescent="0.2">
      <c r="A636"/>
      <c r="B636"/>
      <c r="C636"/>
    </row>
    <row r="637" spans="1:3" x14ac:dyDescent="0.2">
      <c r="A637"/>
      <c r="B637"/>
      <c r="C637"/>
    </row>
    <row r="638" spans="1:3" x14ac:dyDescent="0.2">
      <c r="A638"/>
      <c r="B638"/>
      <c r="C638"/>
    </row>
    <row r="639" spans="1:3" x14ac:dyDescent="0.2">
      <c r="A639"/>
      <c r="B639"/>
      <c r="C639"/>
    </row>
    <row r="640" spans="1:3" x14ac:dyDescent="0.2">
      <c r="A640"/>
      <c r="B640"/>
      <c r="C640"/>
    </row>
    <row r="641" spans="1:3" x14ac:dyDescent="0.2">
      <c r="A641"/>
      <c r="B641"/>
      <c r="C641"/>
    </row>
    <row r="642" spans="1:3" x14ac:dyDescent="0.2">
      <c r="A642"/>
      <c r="B642"/>
      <c r="C642"/>
    </row>
    <row r="643" spans="1:3" x14ac:dyDescent="0.2">
      <c r="A643"/>
      <c r="B643"/>
      <c r="C643"/>
    </row>
    <row r="644" spans="1:3" x14ac:dyDescent="0.2">
      <c r="A644"/>
      <c r="B644"/>
      <c r="C644"/>
    </row>
    <row r="645" spans="1:3" x14ac:dyDescent="0.2">
      <c r="A645"/>
      <c r="B645"/>
      <c r="C645"/>
    </row>
    <row r="646" spans="1:3" x14ac:dyDescent="0.2">
      <c r="A646"/>
      <c r="B646"/>
      <c r="C646"/>
    </row>
    <row r="647" spans="1:3" x14ac:dyDescent="0.2">
      <c r="A647"/>
      <c r="B647"/>
      <c r="C647"/>
    </row>
    <row r="648" spans="1:3" x14ac:dyDescent="0.2">
      <c r="A648"/>
      <c r="B648"/>
      <c r="C648"/>
    </row>
    <row r="649" spans="1:3" x14ac:dyDescent="0.2">
      <c r="A649"/>
      <c r="B649"/>
      <c r="C649"/>
    </row>
    <row r="650" spans="1:3" x14ac:dyDescent="0.2">
      <c r="A650"/>
      <c r="B650"/>
      <c r="C650"/>
    </row>
    <row r="651" spans="1:3" x14ac:dyDescent="0.2">
      <c r="A651"/>
      <c r="B651"/>
      <c r="C651"/>
    </row>
    <row r="652" spans="1:3" x14ac:dyDescent="0.2">
      <c r="A652"/>
      <c r="B652"/>
      <c r="C652"/>
    </row>
    <row r="653" spans="1:3" x14ac:dyDescent="0.2">
      <c r="A653"/>
      <c r="B653"/>
      <c r="C653"/>
    </row>
    <row r="654" spans="1:3" x14ac:dyDescent="0.2">
      <c r="A654"/>
      <c r="B654"/>
      <c r="C654"/>
    </row>
    <row r="655" spans="1:3" x14ac:dyDescent="0.2">
      <c r="A655"/>
      <c r="B655"/>
      <c r="C655"/>
    </row>
    <row r="656" spans="1:3" x14ac:dyDescent="0.2">
      <c r="A656"/>
      <c r="B656"/>
      <c r="C656"/>
    </row>
    <row r="657" spans="1:3" x14ac:dyDescent="0.2">
      <c r="A657"/>
      <c r="B657"/>
      <c r="C657"/>
    </row>
    <row r="658" spans="1:3" x14ac:dyDescent="0.2">
      <c r="A658"/>
      <c r="B658"/>
      <c r="C658"/>
    </row>
    <row r="659" spans="1:3" x14ac:dyDescent="0.2">
      <c r="A659"/>
      <c r="B659"/>
      <c r="C659"/>
    </row>
    <row r="660" spans="1:3" x14ac:dyDescent="0.2">
      <c r="A660"/>
      <c r="B660"/>
      <c r="C660"/>
    </row>
    <row r="661" spans="1:3" x14ac:dyDescent="0.2">
      <c r="A661"/>
      <c r="B661"/>
      <c r="C661"/>
    </row>
    <row r="662" spans="1:3" x14ac:dyDescent="0.2">
      <c r="A662"/>
      <c r="B662"/>
      <c r="C662"/>
    </row>
    <row r="663" spans="1:3" x14ac:dyDescent="0.2">
      <c r="A663"/>
      <c r="B663"/>
      <c r="C663"/>
    </row>
    <row r="664" spans="1:3" x14ac:dyDescent="0.2">
      <c r="A664"/>
      <c r="B664"/>
      <c r="C664"/>
    </row>
    <row r="665" spans="1:3" x14ac:dyDescent="0.2">
      <c r="A665"/>
      <c r="B665"/>
      <c r="C665"/>
    </row>
    <row r="666" spans="1:3" x14ac:dyDescent="0.2">
      <c r="A666"/>
      <c r="B666"/>
      <c r="C666"/>
    </row>
    <row r="667" spans="1:3" x14ac:dyDescent="0.2">
      <c r="A667"/>
      <c r="B667"/>
      <c r="C667"/>
    </row>
    <row r="668" spans="1:3" x14ac:dyDescent="0.2">
      <c r="A668"/>
      <c r="B668"/>
      <c r="C668"/>
    </row>
    <row r="669" spans="1:3" x14ac:dyDescent="0.2">
      <c r="A669"/>
      <c r="B669"/>
      <c r="C669"/>
    </row>
    <row r="670" spans="1:3" x14ac:dyDescent="0.2">
      <c r="A670"/>
      <c r="B670"/>
      <c r="C670"/>
    </row>
    <row r="671" spans="1:3" x14ac:dyDescent="0.2">
      <c r="A671"/>
      <c r="B671"/>
      <c r="C671"/>
    </row>
    <row r="672" spans="1:3" x14ac:dyDescent="0.2">
      <c r="A672"/>
      <c r="B672"/>
      <c r="C672"/>
    </row>
    <row r="673" spans="1:3" x14ac:dyDescent="0.2">
      <c r="A673"/>
      <c r="B673"/>
      <c r="C673"/>
    </row>
    <row r="674" spans="1:3" x14ac:dyDescent="0.2">
      <c r="A674"/>
      <c r="B674"/>
      <c r="C674"/>
    </row>
    <row r="675" spans="1:3" x14ac:dyDescent="0.2">
      <c r="A675"/>
      <c r="B675"/>
      <c r="C675"/>
    </row>
    <row r="676" spans="1:3" x14ac:dyDescent="0.2">
      <c r="A676"/>
      <c r="B676"/>
      <c r="C676"/>
    </row>
    <row r="677" spans="1:3" x14ac:dyDescent="0.2">
      <c r="A677"/>
      <c r="B677"/>
      <c r="C677"/>
    </row>
    <row r="678" spans="1:3" x14ac:dyDescent="0.2">
      <c r="A678"/>
      <c r="B678"/>
      <c r="C678"/>
    </row>
    <row r="679" spans="1:3" x14ac:dyDescent="0.2">
      <c r="A679"/>
      <c r="B679"/>
      <c r="C679"/>
    </row>
    <row r="680" spans="1:3" x14ac:dyDescent="0.2">
      <c r="A680"/>
      <c r="B680"/>
      <c r="C680"/>
    </row>
    <row r="681" spans="1:3" x14ac:dyDescent="0.2">
      <c r="A681"/>
      <c r="B681"/>
      <c r="C681"/>
    </row>
    <row r="682" spans="1:3" x14ac:dyDescent="0.2">
      <c r="A682"/>
      <c r="B682"/>
      <c r="C682"/>
    </row>
    <row r="683" spans="1:3" x14ac:dyDescent="0.2">
      <c r="A683"/>
      <c r="B683"/>
      <c r="C683"/>
    </row>
    <row r="684" spans="1:3" x14ac:dyDescent="0.2">
      <c r="A684"/>
      <c r="B684"/>
      <c r="C684"/>
    </row>
    <row r="685" spans="1:3" x14ac:dyDescent="0.2">
      <c r="A685"/>
      <c r="B685"/>
      <c r="C685"/>
    </row>
    <row r="686" spans="1:3" x14ac:dyDescent="0.2">
      <c r="A686"/>
      <c r="B686"/>
      <c r="C686"/>
    </row>
    <row r="687" spans="1:3" x14ac:dyDescent="0.2">
      <c r="A687"/>
      <c r="B687"/>
      <c r="C687"/>
    </row>
    <row r="688" spans="1:3" x14ac:dyDescent="0.2">
      <c r="A688"/>
      <c r="B688"/>
      <c r="C688"/>
    </row>
    <row r="689" spans="1:3" x14ac:dyDescent="0.2">
      <c r="A689"/>
      <c r="B689"/>
      <c r="C689"/>
    </row>
    <row r="690" spans="1:3" x14ac:dyDescent="0.2">
      <c r="A690"/>
      <c r="B690"/>
      <c r="C690"/>
    </row>
    <row r="691" spans="1:3" x14ac:dyDescent="0.2">
      <c r="A691"/>
      <c r="B691"/>
      <c r="C691"/>
    </row>
    <row r="692" spans="1:3" x14ac:dyDescent="0.2">
      <c r="A692"/>
      <c r="B692"/>
      <c r="C692"/>
    </row>
    <row r="693" spans="1:3" x14ac:dyDescent="0.2">
      <c r="A693"/>
      <c r="B693"/>
      <c r="C693"/>
    </row>
    <row r="694" spans="1:3" x14ac:dyDescent="0.2">
      <c r="A694"/>
      <c r="B694"/>
      <c r="C694"/>
    </row>
    <row r="695" spans="1:3" x14ac:dyDescent="0.2">
      <c r="A695"/>
      <c r="B695"/>
      <c r="C695"/>
    </row>
    <row r="696" spans="1:3" x14ac:dyDescent="0.2">
      <c r="A696"/>
      <c r="B696"/>
      <c r="C696"/>
    </row>
    <row r="697" spans="1:3" x14ac:dyDescent="0.2">
      <c r="A697"/>
      <c r="B697"/>
      <c r="C697"/>
    </row>
    <row r="698" spans="1:3" x14ac:dyDescent="0.2">
      <c r="A698"/>
      <c r="B698"/>
      <c r="C698"/>
    </row>
    <row r="699" spans="1:3" x14ac:dyDescent="0.2">
      <c r="A699"/>
      <c r="B699"/>
      <c r="C699"/>
    </row>
    <row r="700" spans="1:3" x14ac:dyDescent="0.2">
      <c r="A700"/>
      <c r="B700"/>
      <c r="C700"/>
    </row>
    <row r="701" spans="1:3" x14ac:dyDescent="0.2">
      <c r="A701"/>
      <c r="B701"/>
      <c r="C701"/>
    </row>
    <row r="702" spans="1:3" x14ac:dyDescent="0.2">
      <c r="A702"/>
      <c r="B702"/>
      <c r="C702"/>
    </row>
    <row r="703" spans="1:3" x14ac:dyDescent="0.2">
      <c r="A703"/>
      <c r="B703"/>
      <c r="C703"/>
    </row>
    <row r="704" spans="1:3" x14ac:dyDescent="0.2">
      <c r="A704"/>
      <c r="B704"/>
      <c r="C704"/>
    </row>
    <row r="705" spans="1:3" x14ac:dyDescent="0.2">
      <c r="A705"/>
      <c r="B705"/>
      <c r="C705"/>
    </row>
    <row r="706" spans="1:3" x14ac:dyDescent="0.2">
      <c r="A706"/>
      <c r="B706"/>
      <c r="C706"/>
    </row>
    <row r="707" spans="1:3" x14ac:dyDescent="0.2">
      <c r="A707"/>
      <c r="B707"/>
      <c r="C707"/>
    </row>
    <row r="708" spans="1:3" x14ac:dyDescent="0.2">
      <c r="A708"/>
      <c r="B708"/>
      <c r="C708"/>
    </row>
    <row r="709" spans="1:3" x14ac:dyDescent="0.2">
      <c r="A709"/>
      <c r="B709"/>
      <c r="C709"/>
    </row>
    <row r="710" spans="1:3" x14ac:dyDescent="0.2">
      <c r="A710"/>
      <c r="B710"/>
      <c r="C710"/>
    </row>
    <row r="711" spans="1:3" x14ac:dyDescent="0.2">
      <c r="A711"/>
      <c r="B711"/>
      <c r="C711"/>
    </row>
    <row r="712" spans="1:3" x14ac:dyDescent="0.2">
      <c r="A712"/>
      <c r="B712"/>
      <c r="C712"/>
    </row>
    <row r="713" spans="1:3" x14ac:dyDescent="0.2">
      <c r="A713"/>
      <c r="B713"/>
      <c r="C713"/>
    </row>
    <row r="714" spans="1:3" x14ac:dyDescent="0.2">
      <c r="A714"/>
      <c r="B714"/>
      <c r="C714"/>
    </row>
    <row r="715" spans="1:3" x14ac:dyDescent="0.2">
      <c r="A715"/>
      <c r="B715"/>
      <c r="C715"/>
    </row>
    <row r="716" spans="1:3" x14ac:dyDescent="0.2">
      <c r="A716"/>
      <c r="B716"/>
      <c r="C716"/>
    </row>
    <row r="717" spans="1:3" x14ac:dyDescent="0.2">
      <c r="A717"/>
      <c r="B717"/>
      <c r="C717"/>
    </row>
    <row r="718" spans="1:3" x14ac:dyDescent="0.2">
      <c r="A718"/>
      <c r="B718"/>
      <c r="C718"/>
    </row>
    <row r="719" spans="1:3" x14ac:dyDescent="0.2">
      <c r="A719"/>
      <c r="B719"/>
      <c r="C719"/>
    </row>
    <row r="720" spans="1:3" x14ac:dyDescent="0.2">
      <c r="A720"/>
      <c r="B720"/>
      <c r="C720"/>
    </row>
    <row r="721" spans="1:3" x14ac:dyDescent="0.2">
      <c r="A721"/>
      <c r="B721"/>
      <c r="C721"/>
    </row>
    <row r="722" spans="1:3" x14ac:dyDescent="0.2">
      <c r="A722"/>
      <c r="B722"/>
      <c r="C722"/>
    </row>
    <row r="723" spans="1:3" x14ac:dyDescent="0.2">
      <c r="A723"/>
      <c r="B723"/>
      <c r="C723"/>
    </row>
    <row r="724" spans="1:3" x14ac:dyDescent="0.2">
      <c r="A724"/>
      <c r="B724"/>
      <c r="C724"/>
    </row>
    <row r="725" spans="1:3" x14ac:dyDescent="0.2">
      <c r="A725"/>
      <c r="B725"/>
      <c r="C725"/>
    </row>
    <row r="726" spans="1:3" x14ac:dyDescent="0.2">
      <c r="A726"/>
      <c r="B726"/>
      <c r="C726"/>
    </row>
    <row r="727" spans="1:3" x14ac:dyDescent="0.2">
      <c r="A727"/>
      <c r="B727"/>
      <c r="C727"/>
    </row>
    <row r="728" spans="1:3" x14ac:dyDescent="0.2">
      <c r="A728"/>
      <c r="B728"/>
      <c r="C728"/>
    </row>
    <row r="729" spans="1:3" x14ac:dyDescent="0.2">
      <c r="A729"/>
      <c r="B729"/>
      <c r="C729"/>
    </row>
    <row r="730" spans="1:3" x14ac:dyDescent="0.2">
      <c r="A730"/>
      <c r="B730"/>
      <c r="C730"/>
    </row>
    <row r="731" spans="1:3" x14ac:dyDescent="0.2">
      <c r="A731"/>
      <c r="B731"/>
      <c r="C731"/>
    </row>
    <row r="732" spans="1:3" x14ac:dyDescent="0.2">
      <c r="A732"/>
      <c r="B732"/>
      <c r="C732"/>
    </row>
    <row r="733" spans="1:3" x14ac:dyDescent="0.2">
      <c r="A733"/>
      <c r="B733"/>
      <c r="C733"/>
    </row>
    <row r="734" spans="1:3" x14ac:dyDescent="0.2">
      <c r="A734"/>
      <c r="B734"/>
      <c r="C734"/>
    </row>
    <row r="735" spans="1:3" x14ac:dyDescent="0.2">
      <c r="A735"/>
      <c r="B735"/>
      <c r="C735"/>
    </row>
    <row r="736" spans="1:3" x14ac:dyDescent="0.2">
      <c r="A736"/>
      <c r="B736"/>
      <c r="C736"/>
    </row>
    <row r="737" spans="1:3" x14ac:dyDescent="0.2">
      <c r="A737"/>
      <c r="B737"/>
      <c r="C737"/>
    </row>
    <row r="738" spans="1:3" x14ac:dyDescent="0.2">
      <c r="A738"/>
      <c r="B738"/>
      <c r="C738"/>
    </row>
    <row r="739" spans="1:3" x14ac:dyDescent="0.2">
      <c r="A739"/>
      <c r="B739"/>
      <c r="C739"/>
    </row>
    <row r="740" spans="1:3" x14ac:dyDescent="0.2">
      <c r="A740"/>
      <c r="B740"/>
      <c r="C740"/>
    </row>
    <row r="741" spans="1:3" x14ac:dyDescent="0.2">
      <c r="A741"/>
      <c r="B741"/>
      <c r="C741"/>
    </row>
    <row r="742" spans="1:3" x14ac:dyDescent="0.2">
      <c r="A742"/>
      <c r="B742"/>
      <c r="C742"/>
    </row>
    <row r="743" spans="1:3" x14ac:dyDescent="0.2">
      <c r="A743"/>
      <c r="B743"/>
      <c r="C743"/>
    </row>
    <row r="744" spans="1:3" x14ac:dyDescent="0.2">
      <c r="A744"/>
      <c r="B744"/>
      <c r="C744"/>
    </row>
    <row r="745" spans="1:3" x14ac:dyDescent="0.2">
      <c r="A745"/>
      <c r="B745"/>
      <c r="C745"/>
    </row>
    <row r="746" spans="1:3" x14ac:dyDescent="0.2">
      <c r="A746"/>
      <c r="B746"/>
      <c r="C746"/>
    </row>
    <row r="747" spans="1:3" x14ac:dyDescent="0.2">
      <c r="A747"/>
      <c r="B747"/>
      <c r="C747"/>
    </row>
    <row r="748" spans="1:3" x14ac:dyDescent="0.2">
      <c r="A748"/>
      <c r="B748"/>
      <c r="C748"/>
    </row>
    <row r="749" spans="1:3" x14ac:dyDescent="0.2">
      <c r="A749"/>
      <c r="B749"/>
      <c r="C749"/>
    </row>
    <row r="750" spans="1:3" x14ac:dyDescent="0.2">
      <c r="A750"/>
      <c r="B750"/>
      <c r="C750"/>
    </row>
    <row r="751" spans="1:3" x14ac:dyDescent="0.2">
      <c r="A751"/>
      <c r="B751"/>
      <c r="C751"/>
    </row>
    <row r="752" spans="1:3" x14ac:dyDescent="0.2">
      <c r="A752"/>
      <c r="B752"/>
      <c r="C752"/>
    </row>
    <row r="753" spans="1:3" x14ac:dyDescent="0.2">
      <c r="A753"/>
      <c r="B753"/>
      <c r="C753"/>
    </row>
    <row r="754" spans="1:3" x14ac:dyDescent="0.2">
      <c r="A754"/>
      <c r="B754"/>
      <c r="C754"/>
    </row>
    <row r="755" spans="1:3" x14ac:dyDescent="0.2">
      <c r="A755"/>
      <c r="B755"/>
      <c r="C755"/>
    </row>
    <row r="756" spans="1:3" x14ac:dyDescent="0.2">
      <c r="A756"/>
      <c r="B756"/>
      <c r="C756"/>
    </row>
    <row r="757" spans="1:3" x14ac:dyDescent="0.2">
      <c r="A757"/>
      <c r="B757"/>
      <c r="C757"/>
    </row>
    <row r="758" spans="1:3" x14ac:dyDescent="0.2">
      <c r="A758"/>
      <c r="B758"/>
      <c r="C758"/>
    </row>
    <row r="759" spans="1:3" x14ac:dyDescent="0.2">
      <c r="A759"/>
      <c r="B759"/>
      <c r="C759"/>
    </row>
    <row r="760" spans="1:3" x14ac:dyDescent="0.2">
      <c r="A760"/>
      <c r="B760"/>
      <c r="C760"/>
    </row>
    <row r="761" spans="1:3" x14ac:dyDescent="0.2">
      <c r="A761"/>
      <c r="B761"/>
      <c r="C761"/>
    </row>
    <row r="762" spans="1:3" x14ac:dyDescent="0.2">
      <c r="A762"/>
      <c r="B762"/>
      <c r="C762"/>
    </row>
    <row r="763" spans="1:3" x14ac:dyDescent="0.2">
      <c r="A763"/>
      <c r="B763"/>
      <c r="C763"/>
    </row>
    <row r="764" spans="1:3" x14ac:dyDescent="0.2">
      <c r="A764"/>
      <c r="B764"/>
      <c r="C764"/>
    </row>
    <row r="765" spans="1:3" x14ac:dyDescent="0.2">
      <c r="A765"/>
      <c r="B765"/>
      <c r="C765"/>
    </row>
    <row r="766" spans="1:3" x14ac:dyDescent="0.2">
      <c r="A766"/>
      <c r="B766"/>
      <c r="C766"/>
    </row>
    <row r="767" spans="1:3" x14ac:dyDescent="0.2">
      <c r="A767"/>
      <c r="B767"/>
      <c r="C767"/>
    </row>
    <row r="768" spans="1:3" x14ac:dyDescent="0.2">
      <c r="A768"/>
      <c r="B768"/>
      <c r="C768"/>
    </row>
    <row r="769" spans="1:3" x14ac:dyDescent="0.2">
      <c r="A769"/>
      <c r="B769"/>
      <c r="C769"/>
    </row>
    <row r="770" spans="1:3" x14ac:dyDescent="0.2">
      <c r="A770"/>
      <c r="B770"/>
      <c r="C770"/>
    </row>
    <row r="771" spans="1:3" x14ac:dyDescent="0.2">
      <c r="A771"/>
      <c r="B771"/>
      <c r="C771"/>
    </row>
    <row r="772" spans="1:3" x14ac:dyDescent="0.2">
      <c r="A772"/>
      <c r="B772"/>
      <c r="C772"/>
    </row>
    <row r="773" spans="1:3" x14ac:dyDescent="0.2">
      <c r="A773"/>
      <c r="B773"/>
      <c r="C773"/>
    </row>
    <row r="774" spans="1:3" x14ac:dyDescent="0.2">
      <c r="A774"/>
      <c r="B774"/>
      <c r="C774"/>
    </row>
    <row r="775" spans="1:3" x14ac:dyDescent="0.2">
      <c r="A775"/>
      <c r="B775"/>
      <c r="C775"/>
    </row>
    <row r="776" spans="1:3" x14ac:dyDescent="0.2">
      <c r="A776"/>
      <c r="B776"/>
      <c r="C776"/>
    </row>
    <row r="777" spans="1:3" x14ac:dyDescent="0.2">
      <c r="A777"/>
      <c r="B777"/>
      <c r="C777"/>
    </row>
    <row r="778" spans="1:3" x14ac:dyDescent="0.2">
      <c r="A778"/>
      <c r="B778"/>
      <c r="C778"/>
    </row>
    <row r="779" spans="1:3" x14ac:dyDescent="0.2">
      <c r="A779"/>
      <c r="B779"/>
      <c r="C779"/>
    </row>
    <row r="780" spans="1:3" x14ac:dyDescent="0.2">
      <c r="A780"/>
      <c r="B780"/>
      <c r="C780"/>
    </row>
    <row r="781" spans="1:3" x14ac:dyDescent="0.2">
      <c r="A781"/>
      <c r="B781"/>
      <c r="C781"/>
    </row>
    <row r="782" spans="1:3" x14ac:dyDescent="0.2">
      <c r="A782"/>
      <c r="B782"/>
      <c r="C782"/>
    </row>
    <row r="783" spans="1:3" x14ac:dyDescent="0.2">
      <c r="A783"/>
      <c r="B783"/>
      <c r="C783"/>
    </row>
    <row r="784" spans="1:3" x14ac:dyDescent="0.2">
      <c r="A784"/>
      <c r="B784"/>
      <c r="C784"/>
    </row>
    <row r="785" spans="1:3" x14ac:dyDescent="0.2">
      <c r="A785"/>
      <c r="B785"/>
      <c r="C785"/>
    </row>
    <row r="786" spans="1:3" x14ac:dyDescent="0.2">
      <c r="A786"/>
      <c r="B786"/>
      <c r="C786"/>
    </row>
    <row r="787" spans="1:3" x14ac:dyDescent="0.2">
      <c r="A787"/>
      <c r="B787"/>
      <c r="C787"/>
    </row>
    <row r="788" spans="1:3" x14ac:dyDescent="0.2">
      <c r="A788"/>
      <c r="B788"/>
      <c r="C788"/>
    </row>
    <row r="789" spans="1:3" x14ac:dyDescent="0.2">
      <c r="A789"/>
      <c r="B789"/>
      <c r="C789"/>
    </row>
    <row r="790" spans="1:3" x14ac:dyDescent="0.2">
      <c r="A790"/>
      <c r="B790"/>
      <c r="C790"/>
    </row>
    <row r="791" spans="1:3" x14ac:dyDescent="0.2">
      <c r="A791"/>
      <c r="B791"/>
      <c r="C791"/>
    </row>
    <row r="792" spans="1:3" x14ac:dyDescent="0.2">
      <c r="A792"/>
      <c r="B792"/>
      <c r="C792"/>
    </row>
    <row r="793" spans="1:3" x14ac:dyDescent="0.2">
      <c r="A793"/>
      <c r="B793"/>
      <c r="C793"/>
    </row>
    <row r="794" spans="1:3" x14ac:dyDescent="0.2">
      <c r="A794"/>
      <c r="B794"/>
      <c r="C794"/>
    </row>
    <row r="795" spans="1:3" x14ac:dyDescent="0.2">
      <c r="A795"/>
      <c r="B795"/>
      <c r="C795"/>
    </row>
    <row r="796" spans="1:3" x14ac:dyDescent="0.2">
      <c r="A796"/>
      <c r="B796"/>
      <c r="C796"/>
    </row>
    <row r="797" spans="1:3" x14ac:dyDescent="0.2">
      <c r="A797"/>
      <c r="B797"/>
      <c r="C797"/>
    </row>
    <row r="798" spans="1:3" x14ac:dyDescent="0.2">
      <c r="A798"/>
      <c r="B798"/>
      <c r="C798"/>
    </row>
    <row r="799" spans="1:3" x14ac:dyDescent="0.2">
      <c r="A799"/>
      <c r="B799"/>
      <c r="C799"/>
    </row>
    <row r="800" spans="1:3" x14ac:dyDescent="0.2">
      <c r="A800"/>
      <c r="B800"/>
      <c r="C800"/>
    </row>
    <row r="801" spans="1:3" x14ac:dyDescent="0.2">
      <c r="A801"/>
      <c r="B801"/>
      <c r="C801"/>
    </row>
    <row r="802" spans="1:3" x14ac:dyDescent="0.2">
      <c r="A802"/>
      <c r="B802"/>
      <c r="C802"/>
    </row>
    <row r="803" spans="1:3" x14ac:dyDescent="0.2">
      <c r="A803"/>
      <c r="B803"/>
      <c r="C803"/>
    </row>
    <row r="804" spans="1:3" x14ac:dyDescent="0.2">
      <c r="A804"/>
      <c r="B804"/>
      <c r="C804"/>
    </row>
    <row r="805" spans="1:3" x14ac:dyDescent="0.2">
      <c r="A805"/>
      <c r="B805"/>
      <c r="C805"/>
    </row>
    <row r="806" spans="1:3" x14ac:dyDescent="0.2">
      <c r="A806"/>
      <c r="B806"/>
      <c r="C806"/>
    </row>
    <row r="807" spans="1:3" x14ac:dyDescent="0.2">
      <c r="A807"/>
      <c r="B807"/>
      <c r="C807"/>
    </row>
    <row r="808" spans="1:3" x14ac:dyDescent="0.2">
      <c r="A808"/>
      <c r="B808"/>
      <c r="C808"/>
    </row>
    <row r="809" spans="1:3" x14ac:dyDescent="0.2">
      <c r="A809"/>
      <c r="B809"/>
      <c r="C809"/>
    </row>
    <row r="810" spans="1:3" x14ac:dyDescent="0.2">
      <c r="A810"/>
      <c r="B810"/>
      <c r="C810"/>
    </row>
    <row r="811" spans="1:3" x14ac:dyDescent="0.2">
      <c r="A811"/>
      <c r="B811"/>
      <c r="C811"/>
    </row>
    <row r="812" spans="1:3" x14ac:dyDescent="0.2">
      <c r="A812"/>
      <c r="B812"/>
      <c r="C812"/>
    </row>
    <row r="813" spans="1:3" x14ac:dyDescent="0.2">
      <c r="A813"/>
      <c r="B813"/>
      <c r="C813"/>
    </row>
    <row r="814" spans="1:3" x14ac:dyDescent="0.2">
      <c r="A814"/>
      <c r="B814"/>
      <c r="C814"/>
    </row>
    <row r="815" spans="1:3" x14ac:dyDescent="0.2">
      <c r="A815"/>
      <c r="B815"/>
      <c r="C815"/>
    </row>
    <row r="816" spans="1:3" x14ac:dyDescent="0.2">
      <c r="A816"/>
      <c r="B816"/>
      <c r="C816"/>
    </row>
    <row r="817" spans="1:3" x14ac:dyDescent="0.2">
      <c r="A817"/>
      <c r="B817"/>
      <c r="C817"/>
    </row>
    <row r="818" spans="1:3" x14ac:dyDescent="0.2">
      <c r="A818"/>
      <c r="B818"/>
      <c r="C818"/>
    </row>
    <row r="819" spans="1:3" x14ac:dyDescent="0.2">
      <c r="A819"/>
      <c r="B819"/>
      <c r="C819"/>
    </row>
    <row r="820" spans="1:3" x14ac:dyDescent="0.2">
      <c r="A820"/>
      <c r="B820"/>
      <c r="C820"/>
    </row>
    <row r="821" spans="1:3" x14ac:dyDescent="0.2">
      <c r="A821"/>
      <c r="B821"/>
      <c r="C821"/>
    </row>
    <row r="822" spans="1:3" x14ac:dyDescent="0.2">
      <c r="A822"/>
      <c r="B822"/>
      <c r="C822"/>
    </row>
    <row r="823" spans="1:3" x14ac:dyDescent="0.2">
      <c r="A823"/>
      <c r="B823"/>
      <c r="C823"/>
    </row>
    <row r="824" spans="1:3" x14ac:dyDescent="0.2">
      <c r="A824"/>
      <c r="B824"/>
      <c r="C824"/>
    </row>
    <row r="825" spans="1:3" x14ac:dyDescent="0.2">
      <c r="A825"/>
      <c r="B825"/>
      <c r="C825"/>
    </row>
    <row r="826" spans="1:3" x14ac:dyDescent="0.2">
      <c r="A826"/>
      <c r="B826"/>
      <c r="C826"/>
    </row>
    <row r="827" spans="1:3" x14ac:dyDescent="0.2">
      <c r="A827"/>
      <c r="B827"/>
      <c r="C827"/>
    </row>
    <row r="828" spans="1:3" x14ac:dyDescent="0.2">
      <c r="A828"/>
      <c r="B828"/>
      <c r="C828"/>
    </row>
    <row r="829" spans="1:3" x14ac:dyDescent="0.2">
      <c r="A829"/>
      <c r="B829"/>
      <c r="C829"/>
    </row>
    <row r="830" spans="1:3" x14ac:dyDescent="0.2">
      <c r="A830"/>
      <c r="B830"/>
      <c r="C830"/>
    </row>
    <row r="831" spans="1:3" x14ac:dyDescent="0.2">
      <c r="A831"/>
      <c r="B831"/>
      <c r="C831"/>
    </row>
    <row r="832" spans="1:3" x14ac:dyDescent="0.2">
      <c r="A832"/>
      <c r="B832"/>
      <c r="C832"/>
    </row>
    <row r="833" spans="1:3" x14ac:dyDescent="0.2">
      <c r="A833"/>
      <c r="B833"/>
      <c r="C833"/>
    </row>
    <row r="834" spans="1:3" x14ac:dyDescent="0.2">
      <c r="A834"/>
      <c r="B834"/>
      <c r="C834"/>
    </row>
    <row r="835" spans="1:3" x14ac:dyDescent="0.2">
      <c r="A835"/>
      <c r="B835"/>
      <c r="C835"/>
    </row>
    <row r="836" spans="1:3" x14ac:dyDescent="0.2">
      <c r="A836"/>
      <c r="B836"/>
      <c r="C836"/>
    </row>
    <row r="837" spans="1:3" x14ac:dyDescent="0.2">
      <c r="A837"/>
      <c r="B837"/>
      <c r="C837"/>
    </row>
    <row r="838" spans="1:3" x14ac:dyDescent="0.2">
      <c r="A838"/>
      <c r="B838"/>
      <c r="C838"/>
    </row>
    <row r="839" spans="1:3" x14ac:dyDescent="0.2">
      <c r="A839"/>
      <c r="B839"/>
      <c r="C839"/>
    </row>
    <row r="840" spans="1:3" x14ac:dyDescent="0.2">
      <c r="A840"/>
      <c r="B840"/>
      <c r="C840"/>
    </row>
    <row r="841" spans="1:3" x14ac:dyDescent="0.2">
      <c r="A841"/>
      <c r="B841"/>
      <c r="C841"/>
    </row>
    <row r="842" spans="1:3" x14ac:dyDescent="0.2">
      <c r="A842"/>
      <c r="B842"/>
      <c r="C842"/>
    </row>
    <row r="843" spans="1:3" x14ac:dyDescent="0.2">
      <c r="A843"/>
      <c r="B843"/>
      <c r="C843"/>
    </row>
    <row r="844" spans="1:3" x14ac:dyDescent="0.2">
      <c r="A844"/>
      <c r="B844"/>
      <c r="C844"/>
    </row>
    <row r="845" spans="1:3" x14ac:dyDescent="0.2">
      <c r="A845"/>
      <c r="B845"/>
      <c r="C845"/>
    </row>
    <row r="846" spans="1:3" x14ac:dyDescent="0.2">
      <c r="A846"/>
      <c r="B846"/>
      <c r="C846"/>
    </row>
    <row r="847" spans="1:3" x14ac:dyDescent="0.2">
      <c r="A847"/>
      <c r="B847"/>
      <c r="C847"/>
    </row>
    <row r="848" spans="1:3" x14ac:dyDescent="0.2">
      <c r="A848"/>
      <c r="B848"/>
      <c r="C848"/>
    </row>
    <row r="849" spans="1:3" x14ac:dyDescent="0.2">
      <c r="A849"/>
      <c r="B849"/>
      <c r="C849"/>
    </row>
    <row r="850" spans="1:3" x14ac:dyDescent="0.2">
      <c r="A850"/>
      <c r="B850"/>
      <c r="C850"/>
    </row>
    <row r="851" spans="1:3" x14ac:dyDescent="0.2">
      <c r="A851"/>
      <c r="B851"/>
      <c r="C851"/>
    </row>
    <row r="852" spans="1:3" x14ac:dyDescent="0.2">
      <c r="A852"/>
      <c r="B852"/>
      <c r="C852"/>
    </row>
    <row r="853" spans="1:3" x14ac:dyDescent="0.2">
      <c r="A853"/>
      <c r="B853"/>
      <c r="C853"/>
    </row>
    <row r="854" spans="1:3" x14ac:dyDescent="0.2">
      <c r="A854"/>
      <c r="B854"/>
      <c r="C854"/>
    </row>
    <row r="855" spans="1:3" x14ac:dyDescent="0.2">
      <c r="A855"/>
      <c r="B855"/>
      <c r="C855"/>
    </row>
    <row r="856" spans="1:3" x14ac:dyDescent="0.2">
      <c r="A856"/>
      <c r="B856"/>
      <c r="C856"/>
    </row>
    <row r="857" spans="1:3" x14ac:dyDescent="0.2">
      <c r="A857"/>
      <c r="B857"/>
      <c r="C857"/>
    </row>
    <row r="858" spans="1:3" x14ac:dyDescent="0.2">
      <c r="A858"/>
      <c r="B858"/>
      <c r="C858"/>
    </row>
    <row r="859" spans="1:3" x14ac:dyDescent="0.2">
      <c r="A859"/>
      <c r="B859"/>
      <c r="C859"/>
    </row>
    <row r="860" spans="1:3" x14ac:dyDescent="0.2">
      <c r="A860"/>
      <c r="B860"/>
      <c r="C860"/>
    </row>
    <row r="861" spans="1:3" x14ac:dyDescent="0.2">
      <c r="A861"/>
      <c r="B861"/>
      <c r="C861"/>
    </row>
    <row r="862" spans="1:3" x14ac:dyDescent="0.2">
      <c r="A862"/>
      <c r="B862"/>
      <c r="C862"/>
    </row>
    <row r="863" spans="1:3" x14ac:dyDescent="0.2">
      <c r="A863"/>
      <c r="B863"/>
      <c r="C863"/>
    </row>
    <row r="864" spans="1:3" x14ac:dyDescent="0.2">
      <c r="A864"/>
      <c r="B864"/>
      <c r="C864"/>
    </row>
    <row r="865" spans="1:3" x14ac:dyDescent="0.2">
      <c r="A865"/>
      <c r="B865"/>
      <c r="C865"/>
    </row>
    <row r="866" spans="1:3" x14ac:dyDescent="0.2">
      <c r="A866"/>
      <c r="B866"/>
      <c r="C866"/>
    </row>
    <row r="867" spans="1:3" x14ac:dyDescent="0.2">
      <c r="A867"/>
      <c r="B867"/>
      <c r="C867"/>
    </row>
    <row r="868" spans="1:3" x14ac:dyDescent="0.2">
      <c r="A868"/>
      <c r="B868"/>
      <c r="C868"/>
    </row>
    <row r="869" spans="1:3" x14ac:dyDescent="0.2">
      <c r="A869"/>
      <c r="B869"/>
      <c r="C869"/>
    </row>
    <row r="870" spans="1:3" x14ac:dyDescent="0.2">
      <c r="A870"/>
      <c r="B870"/>
      <c r="C870"/>
    </row>
    <row r="871" spans="1:3" x14ac:dyDescent="0.2">
      <c r="A871"/>
      <c r="B871"/>
      <c r="C871"/>
    </row>
    <row r="872" spans="1:3" x14ac:dyDescent="0.2">
      <c r="A872"/>
      <c r="B872"/>
      <c r="C872"/>
    </row>
    <row r="873" spans="1:3" x14ac:dyDescent="0.2">
      <c r="A873"/>
      <c r="B873"/>
      <c r="C873"/>
    </row>
    <row r="874" spans="1:3" x14ac:dyDescent="0.2">
      <c r="A874"/>
      <c r="B874"/>
      <c r="C874"/>
    </row>
    <row r="875" spans="1:3" x14ac:dyDescent="0.2">
      <c r="A875"/>
      <c r="B875"/>
      <c r="C875"/>
    </row>
    <row r="876" spans="1:3" x14ac:dyDescent="0.2">
      <c r="A876"/>
      <c r="B876"/>
      <c r="C876"/>
    </row>
    <row r="877" spans="1:3" x14ac:dyDescent="0.2">
      <c r="A877"/>
      <c r="B877"/>
      <c r="C877"/>
    </row>
    <row r="878" spans="1:3" x14ac:dyDescent="0.2">
      <c r="A878"/>
      <c r="B878"/>
      <c r="C878"/>
    </row>
    <row r="879" spans="1:3" x14ac:dyDescent="0.2">
      <c r="A879"/>
      <c r="B879"/>
      <c r="C879"/>
    </row>
    <row r="880" spans="1:3" x14ac:dyDescent="0.2">
      <c r="A880"/>
      <c r="B880"/>
      <c r="C880"/>
    </row>
    <row r="881" spans="1:3" x14ac:dyDescent="0.2">
      <c r="A881"/>
      <c r="B881"/>
      <c r="C881"/>
    </row>
    <row r="882" spans="1:3" x14ac:dyDescent="0.2">
      <c r="A882"/>
      <c r="B882"/>
      <c r="C882"/>
    </row>
    <row r="883" spans="1:3" x14ac:dyDescent="0.2">
      <c r="A883"/>
      <c r="B883"/>
      <c r="C883"/>
    </row>
    <row r="884" spans="1:3" x14ac:dyDescent="0.2">
      <c r="A884"/>
      <c r="B884"/>
      <c r="C884"/>
    </row>
    <row r="885" spans="1:3" x14ac:dyDescent="0.2">
      <c r="A885"/>
      <c r="B885"/>
      <c r="C885"/>
    </row>
    <row r="886" spans="1:3" x14ac:dyDescent="0.2">
      <c r="A886"/>
      <c r="B886"/>
      <c r="C886"/>
    </row>
    <row r="887" spans="1:3" x14ac:dyDescent="0.2">
      <c r="A887"/>
      <c r="B887"/>
      <c r="C887"/>
    </row>
    <row r="888" spans="1:3" x14ac:dyDescent="0.2">
      <c r="A888"/>
      <c r="B888"/>
      <c r="C888"/>
    </row>
    <row r="889" spans="1:3" x14ac:dyDescent="0.2">
      <c r="A889"/>
      <c r="B889"/>
      <c r="C889"/>
    </row>
    <row r="890" spans="1:3" x14ac:dyDescent="0.2">
      <c r="A890"/>
      <c r="B890"/>
      <c r="C890"/>
    </row>
    <row r="891" spans="1:3" x14ac:dyDescent="0.2">
      <c r="A891"/>
      <c r="B891"/>
      <c r="C891"/>
    </row>
    <row r="892" spans="1:3" x14ac:dyDescent="0.2">
      <c r="A892"/>
      <c r="B892"/>
      <c r="C892"/>
    </row>
    <row r="893" spans="1:3" x14ac:dyDescent="0.2">
      <c r="A893"/>
      <c r="B893"/>
      <c r="C893"/>
    </row>
    <row r="894" spans="1:3" x14ac:dyDescent="0.2">
      <c r="A894"/>
      <c r="B894"/>
      <c r="C894"/>
    </row>
    <row r="895" spans="1:3" x14ac:dyDescent="0.2">
      <c r="A895"/>
      <c r="B895"/>
      <c r="C895"/>
    </row>
    <row r="896" spans="1:3" x14ac:dyDescent="0.2">
      <c r="A896"/>
      <c r="B896"/>
      <c r="C896"/>
    </row>
    <row r="897" spans="1:3" x14ac:dyDescent="0.2">
      <c r="A897"/>
      <c r="B897"/>
      <c r="C897"/>
    </row>
    <row r="898" spans="1:3" x14ac:dyDescent="0.2">
      <c r="A898"/>
      <c r="B898"/>
      <c r="C898"/>
    </row>
    <row r="899" spans="1:3" x14ac:dyDescent="0.2">
      <c r="A899"/>
      <c r="B899"/>
      <c r="C899"/>
    </row>
    <row r="900" spans="1:3" x14ac:dyDescent="0.2">
      <c r="A900"/>
      <c r="B900"/>
      <c r="C900"/>
    </row>
    <row r="901" spans="1:3" x14ac:dyDescent="0.2">
      <c r="A901"/>
      <c r="B901"/>
      <c r="C901"/>
    </row>
    <row r="902" spans="1:3" x14ac:dyDescent="0.2">
      <c r="A902"/>
      <c r="B902"/>
      <c r="C902"/>
    </row>
    <row r="903" spans="1:3" x14ac:dyDescent="0.2">
      <c r="A903"/>
      <c r="B903"/>
      <c r="C903"/>
    </row>
    <row r="904" spans="1:3" x14ac:dyDescent="0.2">
      <c r="A904"/>
      <c r="B904"/>
      <c r="C904"/>
    </row>
    <row r="905" spans="1:3" x14ac:dyDescent="0.2">
      <c r="A905"/>
      <c r="B905"/>
      <c r="C905"/>
    </row>
    <row r="906" spans="1:3" x14ac:dyDescent="0.2">
      <c r="A906"/>
      <c r="B906"/>
      <c r="C906"/>
    </row>
    <row r="907" spans="1:3" x14ac:dyDescent="0.2">
      <c r="A907"/>
      <c r="B907"/>
      <c r="C907"/>
    </row>
    <row r="908" spans="1:3" x14ac:dyDescent="0.2">
      <c r="A908"/>
      <c r="B908"/>
      <c r="C908"/>
    </row>
    <row r="909" spans="1:3" x14ac:dyDescent="0.2">
      <c r="A909"/>
      <c r="B909"/>
      <c r="C909"/>
    </row>
    <row r="910" spans="1:3" x14ac:dyDescent="0.2">
      <c r="A910"/>
      <c r="B910"/>
      <c r="C910"/>
    </row>
    <row r="911" spans="1:3" x14ac:dyDescent="0.2">
      <c r="A911"/>
      <c r="B911"/>
      <c r="C911"/>
    </row>
    <row r="912" spans="1:3" x14ac:dyDescent="0.2">
      <c r="A912"/>
      <c r="B912"/>
      <c r="C912"/>
    </row>
    <row r="913" spans="1:3" x14ac:dyDescent="0.2">
      <c r="A913"/>
      <c r="B913"/>
      <c r="C913"/>
    </row>
    <row r="914" spans="1:3" x14ac:dyDescent="0.2">
      <c r="A914"/>
      <c r="B914"/>
      <c r="C914"/>
    </row>
    <row r="915" spans="1:3" x14ac:dyDescent="0.2">
      <c r="A915"/>
      <c r="B915"/>
      <c r="C915"/>
    </row>
    <row r="916" spans="1:3" x14ac:dyDescent="0.2">
      <c r="A916"/>
      <c r="B916"/>
      <c r="C916"/>
    </row>
    <row r="917" spans="1:3" x14ac:dyDescent="0.2">
      <c r="A917"/>
      <c r="B917"/>
      <c r="C917"/>
    </row>
    <row r="918" spans="1:3" x14ac:dyDescent="0.2">
      <c r="A918"/>
      <c r="B918"/>
      <c r="C918"/>
    </row>
    <row r="919" spans="1:3" x14ac:dyDescent="0.2">
      <c r="A919"/>
      <c r="B919"/>
      <c r="C919"/>
    </row>
    <row r="920" spans="1:3" x14ac:dyDescent="0.2">
      <c r="A920"/>
      <c r="B920"/>
      <c r="C920"/>
    </row>
    <row r="921" spans="1:3" x14ac:dyDescent="0.2">
      <c r="A921"/>
      <c r="B921"/>
      <c r="C921"/>
    </row>
    <row r="922" spans="1:3" x14ac:dyDescent="0.2">
      <c r="A922"/>
      <c r="B922"/>
      <c r="C922"/>
    </row>
    <row r="923" spans="1:3" x14ac:dyDescent="0.2">
      <c r="A923"/>
      <c r="B923"/>
      <c r="C923"/>
    </row>
    <row r="924" spans="1:3" x14ac:dyDescent="0.2">
      <c r="A924"/>
      <c r="B924"/>
      <c r="C924"/>
    </row>
    <row r="925" spans="1:3" x14ac:dyDescent="0.2">
      <c r="A925"/>
      <c r="B925"/>
      <c r="C925"/>
    </row>
    <row r="926" spans="1:3" x14ac:dyDescent="0.2">
      <c r="A926"/>
      <c r="B926"/>
      <c r="C926"/>
    </row>
    <row r="927" spans="1:3" x14ac:dyDescent="0.2">
      <c r="A927"/>
      <c r="B927"/>
      <c r="C927"/>
    </row>
    <row r="928" spans="1:3" x14ac:dyDescent="0.2">
      <c r="A928"/>
      <c r="B928"/>
      <c r="C928"/>
    </row>
    <row r="929" spans="1:3" x14ac:dyDescent="0.2">
      <c r="A929"/>
      <c r="B929"/>
      <c r="C929"/>
    </row>
    <row r="930" spans="1:3" x14ac:dyDescent="0.2">
      <c r="A930"/>
      <c r="B930"/>
      <c r="C930"/>
    </row>
    <row r="931" spans="1:3" x14ac:dyDescent="0.2">
      <c r="A931"/>
      <c r="B931"/>
      <c r="C931"/>
    </row>
    <row r="932" spans="1:3" x14ac:dyDescent="0.2">
      <c r="A932"/>
      <c r="B932"/>
      <c r="C932"/>
    </row>
    <row r="933" spans="1:3" x14ac:dyDescent="0.2">
      <c r="A933"/>
      <c r="B933"/>
      <c r="C933"/>
    </row>
    <row r="934" spans="1:3" x14ac:dyDescent="0.2">
      <c r="A934"/>
      <c r="B934"/>
      <c r="C934"/>
    </row>
    <row r="935" spans="1:3" x14ac:dyDescent="0.2">
      <c r="A935"/>
      <c r="B935"/>
      <c r="C935"/>
    </row>
    <row r="936" spans="1:3" x14ac:dyDescent="0.2">
      <c r="A936"/>
      <c r="B936"/>
      <c r="C936"/>
    </row>
    <row r="937" spans="1:3" x14ac:dyDescent="0.2">
      <c r="A937"/>
      <c r="B937"/>
      <c r="C937"/>
    </row>
    <row r="938" spans="1:3" x14ac:dyDescent="0.2">
      <c r="A938"/>
      <c r="B938"/>
      <c r="C938"/>
    </row>
    <row r="939" spans="1:3" x14ac:dyDescent="0.2">
      <c r="A939"/>
      <c r="B939"/>
      <c r="C939"/>
    </row>
    <row r="940" spans="1:3" x14ac:dyDescent="0.2">
      <c r="A940"/>
      <c r="B940"/>
      <c r="C940"/>
    </row>
    <row r="941" spans="1:3" x14ac:dyDescent="0.2">
      <c r="A941"/>
      <c r="B941"/>
      <c r="C941"/>
    </row>
    <row r="942" spans="1:3" x14ac:dyDescent="0.2">
      <c r="A942"/>
      <c r="B942"/>
      <c r="C942"/>
    </row>
    <row r="943" spans="1:3" x14ac:dyDescent="0.2">
      <c r="A943"/>
      <c r="B943"/>
      <c r="C943"/>
    </row>
    <row r="944" spans="1:3" x14ac:dyDescent="0.2">
      <c r="A944"/>
      <c r="B944"/>
      <c r="C944"/>
    </row>
    <row r="945" spans="1:3" x14ac:dyDescent="0.2">
      <c r="A945"/>
      <c r="B945"/>
      <c r="C945"/>
    </row>
    <row r="946" spans="1:3" x14ac:dyDescent="0.2">
      <c r="A946"/>
      <c r="B946"/>
      <c r="C946"/>
    </row>
    <row r="947" spans="1:3" x14ac:dyDescent="0.2">
      <c r="A947"/>
      <c r="B947"/>
      <c r="C947"/>
    </row>
    <row r="948" spans="1:3" x14ac:dyDescent="0.2">
      <c r="A948"/>
      <c r="B948"/>
      <c r="C948"/>
    </row>
    <row r="949" spans="1:3" x14ac:dyDescent="0.2">
      <c r="A949"/>
      <c r="B949"/>
      <c r="C949"/>
    </row>
    <row r="950" spans="1:3" x14ac:dyDescent="0.2">
      <c r="A950"/>
      <c r="B950"/>
      <c r="C950"/>
    </row>
    <row r="951" spans="1:3" x14ac:dyDescent="0.2">
      <c r="A951"/>
      <c r="B951"/>
      <c r="C951"/>
    </row>
    <row r="952" spans="1:3" x14ac:dyDescent="0.2">
      <c r="A952"/>
      <c r="B952"/>
      <c r="C952"/>
    </row>
    <row r="953" spans="1:3" x14ac:dyDescent="0.2">
      <c r="A953"/>
      <c r="B953"/>
      <c r="C953"/>
    </row>
    <row r="954" spans="1:3" x14ac:dyDescent="0.2">
      <c r="A954"/>
      <c r="B954"/>
      <c r="C954"/>
    </row>
    <row r="955" spans="1:3" x14ac:dyDescent="0.2">
      <c r="A955"/>
      <c r="B955"/>
      <c r="C955"/>
    </row>
    <row r="956" spans="1:3" x14ac:dyDescent="0.2">
      <c r="A956"/>
      <c r="B956"/>
      <c r="C956"/>
    </row>
    <row r="957" spans="1:3" x14ac:dyDescent="0.2">
      <c r="A957"/>
      <c r="B957"/>
      <c r="C957"/>
    </row>
    <row r="958" spans="1:3" x14ac:dyDescent="0.2">
      <c r="A958"/>
      <c r="B958"/>
      <c r="C958"/>
    </row>
    <row r="959" spans="1:3" x14ac:dyDescent="0.2">
      <c r="A959"/>
      <c r="B959"/>
      <c r="C959"/>
    </row>
    <row r="960" spans="1:3" x14ac:dyDescent="0.2">
      <c r="A960"/>
      <c r="B960"/>
      <c r="C960"/>
    </row>
    <row r="961" spans="1:3" x14ac:dyDescent="0.2">
      <c r="A961"/>
      <c r="B961"/>
      <c r="C961"/>
    </row>
    <row r="962" spans="1:3" x14ac:dyDescent="0.2">
      <c r="A962"/>
      <c r="B962"/>
      <c r="C962"/>
    </row>
    <row r="963" spans="1:3" x14ac:dyDescent="0.2">
      <c r="A963"/>
      <c r="B963"/>
      <c r="C963"/>
    </row>
    <row r="964" spans="1:3" x14ac:dyDescent="0.2">
      <c r="A964"/>
      <c r="B964"/>
      <c r="C964"/>
    </row>
    <row r="965" spans="1:3" x14ac:dyDescent="0.2">
      <c r="A965"/>
      <c r="B965"/>
      <c r="C965"/>
    </row>
    <row r="966" spans="1:3" x14ac:dyDescent="0.2">
      <c r="A966"/>
      <c r="B966"/>
      <c r="C966"/>
    </row>
    <row r="967" spans="1:3" x14ac:dyDescent="0.2">
      <c r="A967"/>
      <c r="B967"/>
      <c r="C967"/>
    </row>
    <row r="968" spans="1:3" x14ac:dyDescent="0.2">
      <c r="A968"/>
      <c r="B968"/>
      <c r="C968"/>
    </row>
    <row r="969" spans="1:3" x14ac:dyDescent="0.2">
      <c r="A969"/>
      <c r="B969"/>
      <c r="C969"/>
    </row>
    <row r="970" spans="1:3" x14ac:dyDescent="0.2">
      <c r="A970"/>
      <c r="B970"/>
      <c r="C970"/>
    </row>
    <row r="971" spans="1:3" x14ac:dyDescent="0.2">
      <c r="A971"/>
      <c r="B971"/>
      <c r="C971"/>
    </row>
    <row r="972" spans="1:3" x14ac:dyDescent="0.2">
      <c r="A972"/>
      <c r="B972"/>
      <c r="C972"/>
    </row>
    <row r="973" spans="1:3" x14ac:dyDescent="0.2">
      <c r="A973"/>
      <c r="B973"/>
      <c r="C973"/>
    </row>
    <row r="974" spans="1:3" x14ac:dyDescent="0.2">
      <c r="A974"/>
      <c r="B974"/>
      <c r="C974"/>
    </row>
    <row r="975" spans="1:3" x14ac:dyDescent="0.2">
      <c r="A975"/>
      <c r="B975"/>
      <c r="C975"/>
    </row>
    <row r="976" spans="1:3" x14ac:dyDescent="0.2">
      <c r="A976"/>
      <c r="B976"/>
      <c r="C976"/>
    </row>
    <row r="977" spans="1:3" x14ac:dyDescent="0.2">
      <c r="A977"/>
      <c r="B977"/>
      <c r="C977"/>
    </row>
    <row r="978" spans="1:3" x14ac:dyDescent="0.2">
      <c r="A978"/>
      <c r="B978"/>
      <c r="C978"/>
    </row>
    <row r="979" spans="1:3" x14ac:dyDescent="0.2">
      <c r="A979"/>
      <c r="B979"/>
      <c r="C979"/>
    </row>
    <row r="980" spans="1:3" x14ac:dyDescent="0.2">
      <c r="A980"/>
      <c r="B980"/>
      <c r="C980"/>
    </row>
    <row r="981" spans="1:3" x14ac:dyDescent="0.2">
      <c r="A981"/>
      <c r="B981"/>
      <c r="C981"/>
    </row>
    <row r="982" spans="1:3" x14ac:dyDescent="0.2">
      <c r="A982"/>
      <c r="B982"/>
      <c r="C982"/>
    </row>
    <row r="983" spans="1:3" x14ac:dyDescent="0.2">
      <c r="A983"/>
      <c r="B983"/>
      <c r="C983"/>
    </row>
    <row r="984" spans="1:3" x14ac:dyDescent="0.2">
      <c r="A984"/>
      <c r="B984"/>
      <c r="C984"/>
    </row>
    <row r="985" spans="1:3" x14ac:dyDescent="0.2">
      <c r="A985"/>
      <c r="B985"/>
      <c r="C985"/>
    </row>
    <row r="986" spans="1:3" x14ac:dyDescent="0.2">
      <c r="A986"/>
      <c r="B986"/>
      <c r="C986"/>
    </row>
    <row r="987" spans="1:3" x14ac:dyDescent="0.2">
      <c r="A987"/>
      <c r="B987"/>
      <c r="C987"/>
    </row>
    <row r="988" spans="1:3" x14ac:dyDescent="0.2">
      <c r="A988"/>
      <c r="B988"/>
      <c r="C988"/>
    </row>
    <row r="989" spans="1:3" x14ac:dyDescent="0.2">
      <c r="A989"/>
      <c r="B989"/>
      <c r="C989"/>
    </row>
    <row r="990" spans="1:3" x14ac:dyDescent="0.2">
      <c r="A990"/>
      <c r="B990"/>
      <c r="C990"/>
    </row>
    <row r="991" spans="1:3" x14ac:dyDescent="0.2">
      <c r="A991"/>
      <c r="B991"/>
      <c r="C991"/>
    </row>
    <row r="992" spans="1:3" x14ac:dyDescent="0.2">
      <c r="A992"/>
      <c r="B992"/>
      <c r="C992"/>
    </row>
    <row r="993" spans="1:3" x14ac:dyDescent="0.2">
      <c r="A993"/>
      <c r="B993"/>
      <c r="C993"/>
    </row>
    <row r="994" spans="1:3" x14ac:dyDescent="0.2">
      <c r="A994"/>
      <c r="B994"/>
      <c r="C994"/>
    </row>
    <row r="995" spans="1:3" x14ac:dyDescent="0.2">
      <c r="A995"/>
      <c r="B995"/>
      <c r="C995"/>
    </row>
    <row r="996" spans="1:3" x14ac:dyDescent="0.2">
      <c r="A996"/>
      <c r="B996"/>
      <c r="C996"/>
    </row>
    <row r="997" spans="1:3" x14ac:dyDescent="0.2">
      <c r="A997"/>
      <c r="B997"/>
      <c r="C997"/>
    </row>
    <row r="998" spans="1:3" x14ac:dyDescent="0.2">
      <c r="A998"/>
      <c r="B998"/>
      <c r="C998"/>
    </row>
    <row r="999" spans="1:3" x14ac:dyDescent="0.2">
      <c r="A999"/>
      <c r="B999"/>
      <c r="C999"/>
    </row>
    <row r="1000" spans="1:3" x14ac:dyDescent="0.2">
      <c r="A1000"/>
      <c r="B1000"/>
      <c r="C1000"/>
    </row>
    <row r="1001" spans="1:3" x14ac:dyDescent="0.2">
      <c r="A1001"/>
      <c r="B1001"/>
      <c r="C1001"/>
    </row>
    <row r="1002" spans="1:3" x14ac:dyDescent="0.2">
      <c r="A1002"/>
      <c r="B1002"/>
      <c r="C1002"/>
    </row>
    <row r="1003" spans="1:3" x14ac:dyDescent="0.2">
      <c r="A1003"/>
      <c r="B1003"/>
      <c r="C1003"/>
    </row>
    <row r="1004" spans="1:3" x14ac:dyDescent="0.2">
      <c r="A1004"/>
      <c r="B1004"/>
      <c r="C1004"/>
    </row>
    <row r="1005" spans="1:3" x14ac:dyDescent="0.2">
      <c r="A1005"/>
      <c r="B1005"/>
      <c r="C1005"/>
    </row>
    <row r="1006" spans="1:3" x14ac:dyDescent="0.2">
      <c r="A1006"/>
      <c r="B1006"/>
      <c r="C1006"/>
    </row>
    <row r="1007" spans="1:3" x14ac:dyDescent="0.2">
      <c r="A1007"/>
      <c r="B1007"/>
      <c r="C1007"/>
    </row>
    <row r="1008" spans="1:3" x14ac:dyDescent="0.2">
      <c r="A1008"/>
      <c r="B1008"/>
      <c r="C1008"/>
    </row>
    <row r="1009" spans="1:3" x14ac:dyDescent="0.2">
      <c r="A1009"/>
      <c r="B1009"/>
      <c r="C1009"/>
    </row>
    <row r="1010" spans="1:3" x14ac:dyDescent="0.2">
      <c r="A1010"/>
      <c r="B1010"/>
      <c r="C1010"/>
    </row>
    <row r="1011" spans="1:3" x14ac:dyDescent="0.2">
      <c r="A1011"/>
      <c r="B1011"/>
      <c r="C1011"/>
    </row>
    <row r="1012" spans="1:3" x14ac:dyDescent="0.2">
      <c r="A1012"/>
      <c r="B1012"/>
      <c r="C1012"/>
    </row>
    <row r="1013" spans="1:3" x14ac:dyDescent="0.2">
      <c r="A1013"/>
      <c r="B1013"/>
      <c r="C1013"/>
    </row>
    <row r="1014" spans="1:3" x14ac:dyDescent="0.2">
      <c r="A1014"/>
      <c r="B1014"/>
      <c r="C1014"/>
    </row>
    <row r="1015" spans="1:3" x14ac:dyDescent="0.2">
      <c r="A1015"/>
      <c r="B1015"/>
      <c r="C1015"/>
    </row>
    <row r="1016" spans="1:3" x14ac:dyDescent="0.2">
      <c r="A1016"/>
      <c r="B1016"/>
      <c r="C1016"/>
    </row>
    <row r="1017" spans="1:3" x14ac:dyDescent="0.2">
      <c r="A1017"/>
      <c r="B1017"/>
      <c r="C1017"/>
    </row>
    <row r="1018" spans="1:3" x14ac:dyDescent="0.2">
      <c r="A1018"/>
      <c r="B1018"/>
      <c r="C1018"/>
    </row>
    <row r="1019" spans="1:3" x14ac:dyDescent="0.2">
      <c r="A1019"/>
      <c r="B1019"/>
      <c r="C1019"/>
    </row>
    <row r="1020" spans="1:3" x14ac:dyDescent="0.2">
      <c r="A1020"/>
      <c r="B1020"/>
      <c r="C1020"/>
    </row>
    <row r="1021" spans="1:3" x14ac:dyDescent="0.2">
      <c r="A1021"/>
      <c r="B1021"/>
      <c r="C1021"/>
    </row>
    <row r="1022" spans="1:3" x14ac:dyDescent="0.2">
      <c r="A1022"/>
      <c r="B1022"/>
      <c r="C1022"/>
    </row>
    <row r="1023" spans="1:3" x14ac:dyDescent="0.2">
      <c r="A1023"/>
      <c r="B1023"/>
      <c r="C1023"/>
    </row>
    <row r="1024" spans="1:3" x14ac:dyDescent="0.2">
      <c r="A1024"/>
      <c r="B1024"/>
      <c r="C1024"/>
    </row>
    <row r="1025" spans="1:3" x14ac:dyDescent="0.2">
      <c r="A1025"/>
      <c r="B1025"/>
      <c r="C1025"/>
    </row>
    <row r="1026" spans="1:3" x14ac:dyDescent="0.2">
      <c r="A1026"/>
      <c r="B1026"/>
      <c r="C1026"/>
    </row>
    <row r="1027" spans="1:3" x14ac:dyDescent="0.2">
      <c r="A1027"/>
      <c r="B1027"/>
      <c r="C1027"/>
    </row>
    <row r="1028" spans="1:3" x14ac:dyDescent="0.2">
      <c r="A1028"/>
      <c r="B1028"/>
      <c r="C1028"/>
    </row>
    <row r="1029" spans="1:3" x14ac:dyDescent="0.2">
      <c r="A1029"/>
      <c r="B1029"/>
      <c r="C1029"/>
    </row>
    <row r="1030" spans="1:3" x14ac:dyDescent="0.2">
      <c r="A1030"/>
      <c r="B1030"/>
      <c r="C1030"/>
    </row>
    <row r="1031" spans="1:3" x14ac:dyDescent="0.2">
      <c r="A1031"/>
      <c r="B1031"/>
      <c r="C1031"/>
    </row>
    <row r="1032" spans="1:3" x14ac:dyDescent="0.2">
      <c r="A1032"/>
      <c r="B1032"/>
      <c r="C1032"/>
    </row>
    <row r="1033" spans="1:3" x14ac:dyDescent="0.2">
      <c r="A1033"/>
      <c r="B1033"/>
      <c r="C1033"/>
    </row>
    <row r="1034" spans="1:3" x14ac:dyDescent="0.2">
      <c r="A1034"/>
      <c r="B1034"/>
      <c r="C1034"/>
    </row>
    <row r="1035" spans="1:3" x14ac:dyDescent="0.2">
      <c r="A1035"/>
      <c r="B1035"/>
      <c r="C1035"/>
    </row>
    <row r="1036" spans="1:3" x14ac:dyDescent="0.2">
      <c r="A1036"/>
      <c r="B1036"/>
      <c r="C1036"/>
    </row>
    <row r="1037" spans="1:3" x14ac:dyDescent="0.2">
      <c r="A1037"/>
      <c r="B1037"/>
      <c r="C1037"/>
    </row>
    <row r="1038" spans="1:3" x14ac:dyDescent="0.2">
      <c r="A1038"/>
      <c r="B1038"/>
      <c r="C1038"/>
    </row>
    <row r="1039" spans="1:3" x14ac:dyDescent="0.2">
      <c r="A1039"/>
      <c r="B1039"/>
      <c r="C1039"/>
    </row>
    <row r="1040" spans="1:3" x14ac:dyDescent="0.2">
      <c r="A1040"/>
      <c r="B1040"/>
      <c r="C1040"/>
    </row>
    <row r="1041" spans="1:3" x14ac:dyDescent="0.2">
      <c r="A1041"/>
      <c r="B1041"/>
      <c r="C1041"/>
    </row>
    <row r="1042" spans="1:3" x14ac:dyDescent="0.2">
      <c r="A1042"/>
      <c r="B1042"/>
      <c r="C1042"/>
    </row>
    <row r="1043" spans="1:3" x14ac:dyDescent="0.2">
      <c r="A1043"/>
      <c r="B1043"/>
      <c r="C1043"/>
    </row>
    <row r="1044" spans="1:3" x14ac:dyDescent="0.2">
      <c r="A1044"/>
      <c r="B1044"/>
      <c r="C1044"/>
    </row>
    <row r="1045" spans="1:3" x14ac:dyDescent="0.2">
      <c r="A1045"/>
      <c r="B1045"/>
      <c r="C1045"/>
    </row>
    <row r="1046" spans="1:3" x14ac:dyDescent="0.2">
      <c r="A1046"/>
      <c r="B1046"/>
      <c r="C1046"/>
    </row>
    <row r="1047" spans="1:3" x14ac:dyDescent="0.2">
      <c r="A1047"/>
      <c r="B1047"/>
      <c r="C1047"/>
    </row>
    <row r="1048" spans="1:3" x14ac:dyDescent="0.2">
      <c r="A1048"/>
      <c r="B1048"/>
      <c r="C1048"/>
    </row>
    <row r="1049" spans="1:3" x14ac:dyDescent="0.2">
      <c r="A1049"/>
      <c r="B1049"/>
      <c r="C1049"/>
    </row>
    <row r="1050" spans="1:3" x14ac:dyDescent="0.2">
      <c r="A1050"/>
      <c r="B1050"/>
      <c r="C1050"/>
    </row>
    <row r="1051" spans="1:3" x14ac:dyDescent="0.2">
      <c r="A1051"/>
      <c r="B1051"/>
      <c r="C1051"/>
    </row>
    <row r="1052" spans="1:3" x14ac:dyDescent="0.2">
      <c r="A1052"/>
      <c r="B1052"/>
      <c r="C1052"/>
    </row>
    <row r="1053" spans="1:3" x14ac:dyDescent="0.2">
      <c r="A1053"/>
      <c r="B1053"/>
      <c r="C1053"/>
    </row>
    <row r="1054" spans="1:3" x14ac:dyDescent="0.2">
      <c r="A1054"/>
      <c r="B1054"/>
      <c r="C1054"/>
    </row>
    <row r="1055" spans="1:3" x14ac:dyDescent="0.2">
      <c r="A1055"/>
      <c r="B1055"/>
      <c r="C1055"/>
    </row>
    <row r="1056" spans="1:3" x14ac:dyDescent="0.2">
      <c r="A1056"/>
      <c r="B1056"/>
      <c r="C1056"/>
    </row>
    <row r="1057" spans="1:3" x14ac:dyDescent="0.2">
      <c r="A1057"/>
      <c r="B1057"/>
      <c r="C1057"/>
    </row>
    <row r="1058" spans="1:3" x14ac:dyDescent="0.2">
      <c r="A1058"/>
      <c r="B1058"/>
      <c r="C1058"/>
    </row>
    <row r="1059" spans="1:3" x14ac:dyDescent="0.2">
      <c r="A1059"/>
      <c r="B1059"/>
      <c r="C1059"/>
    </row>
    <row r="1060" spans="1:3" x14ac:dyDescent="0.2">
      <c r="A1060"/>
      <c r="B1060"/>
      <c r="C1060"/>
    </row>
    <row r="1061" spans="1:3" x14ac:dyDescent="0.2">
      <c r="A1061"/>
      <c r="B1061"/>
      <c r="C1061"/>
    </row>
    <row r="1062" spans="1:3" x14ac:dyDescent="0.2">
      <c r="A1062"/>
      <c r="B1062"/>
      <c r="C1062"/>
    </row>
    <row r="1063" spans="1:3" x14ac:dyDescent="0.2">
      <c r="A1063"/>
      <c r="B1063"/>
      <c r="C1063"/>
    </row>
    <row r="1064" spans="1:3" x14ac:dyDescent="0.2">
      <c r="A1064"/>
      <c r="B1064"/>
      <c r="C1064"/>
    </row>
    <row r="1065" spans="1:3" x14ac:dyDescent="0.2">
      <c r="A1065"/>
      <c r="B1065"/>
      <c r="C1065"/>
    </row>
    <row r="1066" spans="1:3" x14ac:dyDescent="0.2">
      <c r="A1066"/>
      <c r="B1066"/>
      <c r="C1066"/>
    </row>
    <row r="1067" spans="1:3" x14ac:dyDescent="0.2">
      <c r="A1067"/>
      <c r="B1067"/>
      <c r="C1067"/>
    </row>
    <row r="1068" spans="1:3" x14ac:dyDescent="0.2">
      <c r="A1068"/>
      <c r="B1068"/>
      <c r="C1068"/>
    </row>
    <row r="1069" spans="1:3" x14ac:dyDescent="0.2">
      <c r="A1069"/>
      <c r="B1069"/>
      <c r="C1069"/>
    </row>
    <row r="1070" spans="1:3" x14ac:dyDescent="0.2">
      <c r="A1070"/>
      <c r="B1070"/>
      <c r="C1070"/>
    </row>
    <row r="1071" spans="1:3" x14ac:dyDescent="0.2">
      <c r="A1071"/>
      <c r="B1071"/>
      <c r="C1071"/>
    </row>
    <row r="1072" spans="1:3" x14ac:dyDescent="0.2">
      <c r="A1072"/>
      <c r="B1072"/>
      <c r="C1072"/>
    </row>
    <row r="1073" spans="1:3" x14ac:dyDescent="0.2">
      <c r="A1073"/>
      <c r="B1073"/>
      <c r="C1073"/>
    </row>
    <row r="1074" spans="1:3" x14ac:dyDescent="0.2">
      <c r="A1074"/>
      <c r="B1074"/>
      <c r="C1074"/>
    </row>
    <row r="1075" spans="1:3" x14ac:dyDescent="0.2">
      <c r="A1075"/>
      <c r="B1075"/>
      <c r="C1075"/>
    </row>
    <row r="1076" spans="1:3" x14ac:dyDescent="0.2">
      <c r="A1076"/>
      <c r="B1076"/>
      <c r="C1076"/>
    </row>
    <row r="1077" spans="1:3" x14ac:dyDescent="0.2">
      <c r="A1077"/>
      <c r="B1077"/>
      <c r="C1077"/>
    </row>
    <row r="1078" spans="1:3" x14ac:dyDescent="0.2">
      <c r="A1078"/>
      <c r="B1078"/>
      <c r="C1078"/>
    </row>
    <row r="1079" spans="1:3" x14ac:dyDescent="0.2">
      <c r="A1079"/>
      <c r="B1079"/>
      <c r="C1079"/>
    </row>
    <row r="1080" spans="1:3" x14ac:dyDescent="0.2">
      <c r="A1080"/>
      <c r="B1080"/>
      <c r="C1080"/>
    </row>
    <row r="1081" spans="1:3" x14ac:dyDescent="0.2">
      <c r="A1081"/>
      <c r="B1081"/>
      <c r="C1081"/>
    </row>
    <row r="1082" spans="1:3" x14ac:dyDescent="0.2">
      <c r="A1082"/>
      <c r="B1082"/>
      <c r="C1082"/>
    </row>
    <row r="1083" spans="1:3" x14ac:dyDescent="0.2">
      <c r="A1083"/>
      <c r="B1083"/>
      <c r="C1083"/>
    </row>
    <row r="1084" spans="1:3" x14ac:dyDescent="0.2">
      <c r="A1084"/>
      <c r="B1084"/>
      <c r="C1084"/>
    </row>
    <row r="1085" spans="1:3" x14ac:dyDescent="0.2">
      <c r="A1085"/>
      <c r="B1085"/>
      <c r="C1085"/>
    </row>
    <row r="1086" spans="1:3" x14ac:dyDescent="0.2">
      <c r="A1086"/>
      <c r="B1086"/>
      <c r="C1086"/>
    </row>
    <row r="1087" spans="1:3" x14ac:dyDescent="0.2">
      <c r="A1087"/>
      <c r="B1087"/>
      <c r="C1087"/>
    </row>
    <row r="1088" spans="1:3" x14ac:dyDescent="0.2">
      <c r="A1088"/>
      <c r="B1088"/>
      <c r="C1088"/>
    </row>
    <row r="1089" spans="1:3" x14ac:dyDescent="0.2">
      <c r="A1089"/>
      <c r="B1089"/>
      <c r="C1089"/>
    </row>
    <row r="1090" spans="1:3" x14ac:dyDescent="0.2">
      <c r="A1090"/>
      <c r="B1090"/>
      <c r="C1090"/>
    </row>
    <row r="1091" spans="1:3" x14ac:dyDescent="0.2">
      <c r="A1091"/>
      <c r="B1091"/>
      <c r="C1091"/>
    </row>
    <row r="1092" spans="1:3" x14ac:dyDescent="0.2">
      <c r="A1092"/>
      <c r="B1092"/>
      <c r="C1092"/>
    </row>
    <row r="1093" spans="1:3" x14ac:dyDescent="0.2">
      <c r="A1093"/>
      <c r="B1093"/>
      <c r="C1093"/>
    </row>
    <row r="1094" spans="1:3" x14ac:dyDescent="0.2">
      <c r="A1094"/>
      <c r="B1094"/>
      <c r="C1094"/>
    </row>
    <row r="1095" spans="1:3" x14ac:dyDescent="0.2">
      <c r="A1095"/>
      <c r="B1095"/>
      <c r="C1095"/>
    </row>
    <row r="1096" spans="1:3" x14ac:dyDescent="0.2">
      <c r="A1096"/>
      <c r="B1096"/>
      <c r="C1096"/>
    </row>
    <row r="1097" spans="1:3" x14ac:dyDescent="0.2">
      <c r="A1097"/>
      <c r="B1097"/>
      <c r="C1097"/>
    </row>
    <row r="1098" spans="1:3" x14ac:dyDescent="0.2">
      <c r="A1098"/>
      <c r="B1098"/>
      <c r="C1098"/>
    </row>
    <row r="1099" spans="1:3" x14ac:dyDescent="0.2">
      <c r="A1099"/>
      <c r="B1099"/>
      <c r="C1099"/>
    </row>
    <row r="1100" spans="1:3" x14ac:dyDescent="0.2">
      <c r="A1100"/>
      <c r="B1100"/>
      <c r="C1100"/>
    </row>
    <row r="1101" spans="1:3" x14ac:dyDescent="0.2">
      <c r="A1101"/>
      <c r="B1101"/>
      <c r="C1101"/>
    </row>
    <row r="1102" spans="1:3" x14ac:dyDescent="0.2">
      <c r="A1102"/>
      <c r="B1102"/>
      <c r="C1102"/>
    </row>
    <row r="1103" spans="1:3" x14ac:dyDescent="0.2">
      <c r="A1103"/>
      <c r="B1103"/>
      <c r="C1103"/>
    </row>
    <row r="1104" spans="1:3" x14ac:dyDescent="0.2">
      <c r="A1104"/>
      <c r="B1104"/>
      <c r="C1104"/>
    </row>
    <row r="1105" spans="1:3" x14ac:dyDescent="0.2">
      <c r="A1105"/>
      <c r="B1105"/>
      <c r="C1105"/>
    </row>
    <row r="1106" spans="1:3" x14ac:dyDescent="0.2">
      <c r="A1106"/>
      <c r="B1106"/>
      <c r="C1106"/>
    </row>
    <row r="1107" spans="1:3" x14ac:dyDescent="0.2">
      <c r="A1107"/>
      <c r="B1107"/>
      <c r="C1107"/>
    </row>
    <row r="1108" spans="1:3" x14ac:dyDescent="0.2">
      <c r="A1108"/>
      <c r="B1108"/>
      <c r="C1108"/>
    </row>
    <row r="1109" spans="1:3" x14ac:dyDescent="0.2">
      <c r="A1109"/>
      <c r="B1109"/>
      <c r="C1109"/>
    </row>
    <row r="1110" spans="1:3" x14ac:dyDescent="0.2">
      <c r="A1110"/>
      <c r="B1110"/>
      <c r="C1110"/>
    </row>
    <row r="1111" spans="1:3" x14ac:dyDescent="0.2">
      <c r="A1111"/>
      <c r="B1111"/>
      <c r="C1111"/>
    </row>
    <row r="1112" spans="1:3" x14ac:dyDescent="0.2">
      <c r="A1112"/>
      <c r="B1112"/>
      <c r="C1112"/>
    </row>
    <row r="1113" spans="1:3" x14ac:dyDescent="0.2">
      <c r="A1113"/>
      <c r="B1113"/>
      <c r="C1113"/>
    </row>
    <row r="1114" spans="1:3" x14ac:dyDescent="0.2">
      <c r="A1114"/>
      <c r="B1114"/>
      <c r="C1114"/>
    </row>
    <row r="1115" spans="1:3" x14ac:dyDescent="0.2">
      <c r="A1115"/>
      <c r="B1115"/>
      <c r="C1115"/>
    </row>
    <row r="1116" spans="1:3" x14ac:dyDescent="0.2">
      <c r="A1116"/>
      <c r="B1116"/>
      <c r="C1116"/>
    </row>
    <row r="1117" spans="1:3" x14ac:dyDescent="0.2">
      <c r="A1117"/>
      <c r="B1117"/>
      <c r="C1117"/>
    </row>
    <row r="1118" spans="1:3" x14ac:dyDescent="0.2">
      <c r="A1118"/>
      <c r="B1118"/>
      <c r="C1118"/>
    </row>
    <row r="1119" spans="1:3" x14ac:dyDescent="0.2">
      <c r="A1119"/>
      <c r="B1119"/>
      <c r="C1119"/>
    </row>
    <row r="1120" spans="1:3" x14ac:dyDescent="0.2">
      <c r="A1120"/>
      <c r="B1120"/>
      <c r="C1120"/>
    </row>
    <row r="1121" spans="1:3" x14ac:dyDescent="0.2">
      <c r="A1121"/>
      <c r="B1121"/>
      <c r="C1121"/>
    </row>
    <row r="1122" spans="1:3" x14ac:dyDescent="0.2">
      <c r="A1122"/>
      <c r="B1122"/>
      <c r="C1122"/>
    </row>
    <row r="1123" spans="1:3" x14ac:dyDescent="0.2">
      <c r="A1123"/>
      <c r="B1123"/>
      <c r="C1123"/>
    </row>
    <row r="1124" spans="1:3" x14ac:dyDescent="0.2">
      <c r="A1124"/>
      <c r="B1124"/>
      <c r="C1124"/>
    </row>
    <row r="1125" spans="1:3" x14ac:dyDescent="0.2">
      <c r="A1125"/>
      <c r="B1125"/>
      <c r="C1125"/>
    </row>
    <row r="1126" spans="1:3" x14ac:dyDescent="0.2">
      <c r="A1126"/>
      <c r="B1126"/>
      <c r="C1126"/>
    </row>
    <row r="1127" spans="1:3" x14ac:dyDescent="0.2">
      <c r="A1127"/>
      <c r="B1127"/>
      <c r="C1127"/>
    </row>
    <row r="1128" spans="1:3" x14ac:dyDescent="0.2">
      <c r="A1128"/>
      <c r="B1128"/>
      <c r="C1128"/>
    </row>
    <row r="1129" spans="1:3" x14ac:dyDescent="0.2">
      <c r="A1129"/>
      <c r="B1129"/>
      <c r="C1129"/>
    </row>
    <row r="1130" spans="1:3" x14ac:dyDescent="0.2">
      <c r="A1130"/>
      <c r="B1130"/>
      <c r="C1130"/>
    </row>
    <row r="1131" spans="1:3" x14ac:dyDescent="0.2">
      <c r="A1131"/>
      <c r="B1131"/>
      <c r="C1131"/>
    </row>
    <row r="1132" spans="1:3" x14ac:dyDescent="0.2">
      <c r="A1132"/>
      <c r="B1132"/>
      <c r="C1132"/>
    </row>
    <row r="1133" spans="1:3" x14ac:dyDescent="0.2">
      <c r="A1133"/>
      <c r="B1133"/>
      <c r="C1133"/>
    </row>
    <row r="1134" spans="1:3" x14ac:dyDescent="0.2">
      <c r="A1134"/>
      <c r="B1134"/>
      <c r="C1134"/>
    </row>
    <row r="1135" spans="1:3" x14ac:dyDescent="0.2">
      <c r="A1135"/>
      <c r="B1135"/>
      <c r="C1135"/>
    </row>
    <row r="1136" spans="1:3" x14ac:dyDescent="0.2">
      <c r="A1136"/>
      <c r="B1136"/>
      <c r="C1136"/>
    </row>
    <row r="1137" spans="1:3" x14ac:dyDescent="0.2">
      <c r="A1137"/>
      <c r="B1137"/>
      <c r="C1137"/>
    </row>
    <row r="1138" spans="1:3" x14ac:dyDescent="0.2">
      <c r="A1138"/>
      <c r="B1138"/>
      <c r="C1138"/>
    </row>
    <row r="1139" spans="1:3" x14ac:dyDescent="0.2">
      <c r="A1139"/>
      <c r="B1139"/>
      <c r="C1139"/>
    </row>
    <row r="1140" spans="1:3" x14ac:dyDescent="0.2">
      <c r="A1140"/>
      <c r="B1140"/>
      <c r="C1140"/>
    </row>
    <row r="1141" spans="1:3" x14ac:dyDescent="0.2">
      <c r="A1141"/>
      <c r="B1141"/>
      <c r="C1141"/>
    </row>
    <row r="1142" spans="1:3" x14ac:dyDescent="0.2">
      <c r="A1142"/>
      <c r="B1142"/>
      <c r="C1142"/>
    </row>
    <row r="1143" spans="1:3" x14ac:dyDescent="0.2">
      <c r="A1143"/>
      <c r="B1143"/>
      <c r="C1143"/>
    </row>
    <row r="1144" spans="1:3" x14ac:dyDescent="0.2">
      <c r="A1144"/>
      <c r="B1144"/>
      <c r="C1144"/>
    </row>
    <row r="1145" spans="1:3" x14ac:dyDescent="0.2">
      <c r="A1145"/>
      <c r="B1145"/>
      <c r="C1145"/>
    </row>
    <row r="1146" spans="1:3" x14ac:dyDescent="0.2">
      <c r="A1146"/>
      <c r="B1146"/>
      <c r="C1146"/>
    </row>
    <row r="1147" spans="1:3" x14ac:dyDescent="0.2">
      <c r="A1147"/>
      <c r="B1147"/>
      <c r="C1147"/>
    </row>
    <row r="1148" spans="1:3" x14ac:dyDescent="0.2">
      <c r="A1148"/>
      <c r="B1148"/>
      <c r="C1148"/>
    </row>
    <row r="1149" spans="1:3" x14ac:dyDescent="0.2">
      <c r="A1149"/>
      <c r="B1149"/>
      <c r="C1149"/>
    </row>
    <row r="1150" spans="1:3" x14ac:dyDescent="0.2">
      <c r="A1150"/>
      <c r="B1150"/>
      <c r="C1150"/>
    </row>
    <row r="1151" spans="1:3" x14ac:dyDescent="0.2">
      <c r="A1151"/>
      <c r="B1151"/>
      <c r="C1151"/>
    </row>
    <row r="1152" spans="1:3" x14ac:dyDescent="0.2">
      <c r="A1152"/>
      <c r="B1152"/>
      <c r="C1152"/>
    </row>
    <row r="1153" spans="1:3" x14ac:dyDescent="0.2">
      <c r="A1153"/>
      <c r="B1153"/>
      <c r="C1153"/>
    </row>
    <row r="1154" spans="1:3" x14ac:dyDescent="0.2">
      <c r="A1154"/>
      <c r="B1154"/>
      <c r="C1154"/>
    </row>
    <row r="1155" spans="1:3" x14ac:dyDescent="0.2">
      <c r="A1155"/>
      <c r="B1155"/>
      <c r="C1155"/>
    </row>
    <row r="1156" spans="1:3" x14ac:dyDescent="0.2">
      <c r="A1156"/>
      <c r="B1156"/>
      <c r="C1156"/>
    </row>
    <row r="1157" spans="1:3" x14ac:dyDescent="0.2">
      <c r="A1157"/>
      <c r="B1157"/>
      <c r="C1157"/>
    </row>
    <row r="1158" spans="1:3" x14ac:dyDescent="0.2">
      <c r="A1158"/>
      <c r="B1158"/>
      <c r="C1158"/>
    </row>
    <row r="1159" spans="1:3" x14ac:dyDescent="0.2">
      <c r="A1159"/>
      <c r="B1159"/>
      <c r="C1159"/>
    </row>
    <row r="1160" spans="1:3" x14ac:dyDescent="0.2">
      <c r="A1160"/>
      <c r="B1160"/>
      <c r="C1160"/>
    </row>
    <row r="1161" spans="1:3" x14ac:dyDescent="0.2">
      <c r="A1161"/>
      <c r="B1161"/>
      <c r="C1161"/>
    </row>
    <row r="1162" spans="1:3" x14ac:dyDescent="0.2">
      <c r="A1162"/>
      <c r="B1162"/>
      <c r="C1162"/>
    </row>
    <row r="1163" spans="1:3" x14ac:dyDescent="0.2">
      <c r="A1163"/>
      <c r="B1163"/>
      <c r="C1163"/>
    </row>
    <row r="1164" spans="1:3" x14ac:dyDescent="0.2">
      <c r="A1164"/>
      <c r="B1164"/>
      <c r="C1164"/>
    </row>
    <row r="1165" spans="1:3" x14ac:dyDescent="0.2">
      <c r="A1165"/>
      <c r="B1165"/>
      <c r="C1165"/>
    </row>
    <row r="1166" spans="1:3" x14ac:dyDescent="0.2">
      <c r="A1166"/>
      <c r="B1166"/>
      <c r="C1166"/>
    </row>
    <row r="1167" spans="1:3" x14ac:dyDescent="0.2">
      <c r="A1167"/>
      <c r="B1167"/>
      <c r="C1167"/>
    </row>
    <row r="1168" spans="1:3" x14ac:dyDescent="0.2">
      <c r="A1168"/>
      <c r="B1168"/>
      <c r="C1168"/>
    </row>
    <row r="1169" spans="1:3" x14ac:dyDescent="0.2">
      <c r="A1169"/>
      <c r="B1169"/>
      <c r="C1169"/>
    </row>
    <row r="1170" spans="1:3" x14ac:dyDescent="0.2">
      <c r="A1170"/>
      <c r="B1170"/>
      <c r="C1170"/>
    </row>
    <row r="1171" spans="1:3" x14ac:dyDescent="0.2">
      <c r="A1171"/>
      <c r="B1171"/>
      <c r="C1171"/>
    </row>
    <row r="1172" spans="1:3" x14ac:dyDescent="0.2">
      <c r="A1172"/>
      <c r="B1172"/>
      <c r="C1172"/>
    </row>
    <row r="1173" spans="1:3" x14ac:dyDescent="0.2">
      <c r="A1173"/>
      <c r="B1173"/>
      <c r="C1173"/>
    </row>
    <row r="1174" spans="1:3" x14ac:dyDescent="0.2">
      <c r="A1174"/>
      <c r="B1174"/>
      <c r="C1174"/>
    </row>
    <row r="1175" spans="1:3" x14ac:dyDescent="0.2">
      <c r="A1175"/>
      <c r="B1175"/>
      <c r="C1175"/>
    </row>
    <row r="1176" spans="1:3" x14ac:dyDescent="0.2">
      <c r="A1176"/>
      <c r="B1176"/>
      <c r="C1176"/>
    </row>
    <row r="1177" spans="1:3" x14ac:dyDescent="0.2">
      <c r="A1177"/>
      <c r="B1177"/>
      <c r="C1177"/>
    </row>
    <row r="1178" spans="1:3" x14ac:dyDescent="0.2">
      <c r="A1178"/>
      <c r="B1178"/>
      <c r="C1178"/>
    </row>
    <row r="1179" spans="1:3" x14ac:dyDescent="0.2">
      <c r="A1179"/>
      <c r="B1179"/>
      <c r="C1179"/>
    </row>
    <row r="1180" spans="1:3" x14ac:dyDescent="0.2">
      <c r="A1180"/>
      <c r="B1180"/>
      <c r="C1180"/>
    </row>
    <row r="1181" spans="1:3" x14ac:dyDescent="0.2">
      <c r="A1181"/>
      <c r="B1181"/>
      <c r="C1181"/>
    </row>
    <row r="1182" spans="1:3" x14ac:dyDescent="0.2">
      <c r="A1182"/>
      <c r="B1182"/>
      <c r="C1182"/>
    </row>
    <row r="1183" spans="1:3" x14ac:dyDescent="0.2">
      <c r="A1183"/>
      <c r="B1183"/>
      <c r="C1183"/>
    </row>
    <row r="1184" spans="1:3" x14ac:dyDescent="0.2">
      <c r="A1184"/>
      <c r="B1184"/>
      <c r="C1184"/>
    </row>
    <row r="1185" spans="1:3" x14ac:dyDescent="0.2">
      <c r="A1185"/>
      <c r="B1185"/>
      <c r="C1185"/>
    </row>
    <row r="1186" spans="1:3" x14ac:dyDescent="0.2">
      <c r="A1186"/>
      <c r="B1186"/>
      <c r="C1186"/>
    </row>
    <row r="1187" spans="1:3" x14ac:dyDescent="0.2">
      <c r="A1187"/>
      <c r="B1187"/>
      <c r="C1187"/>
    </row>
    <row r="1188" spans="1:3" x14ac:dyDescent="0.2">
      <c r="A1188"/>
      <c r="B1188"/>
      <c r="C1188"/>
    </row>
    <row r="1189" spans="1:3" x14ac:dyDescent="0.2">
      <c r="A1189"/>
      <c r="B1189"/>
      <c r="C1189"/>
    </row>
    <row r="1190" spans="1:3" x14ac:dyDescent="0.2">
      <c r="A1190"/>
      <c r="B1190"/>
      <c r="C1190"/>
    </row>
    <row r="1191" spans="1:3" x14ac:dyDescent="0.2">
      <c r="A1191"/>
      <c r="B1191"/>
      <c r="C1191"/>
    </row>
    <row r="1192" spans="1:3" x14ac:dyDescent="0.2">
      <c r="A1192"/>
      <c r="B1192"/>
      <c r="C1192"/>
    </row>
    <row r="1193" spans="1:3" x14ac:dyDescent="0.2">
      <c r="A1193"/>
      <c r="B1193"/>
      <c r="C1193"/>
    </row>
    <row r="1194" spans="1:3" x14ac:dyDescent="0.2">
      <c r="A1194"/>
      <c r="B1194"/>
      <c r="C1194"/>
    </row>
    <row r="1195" spans="1:3" x14ac:dyDescent="0.2">
      <c r="A1195"/>
      <c r="B1195"/>
      <c r="C1195"/>
    </row>
    <row r="1196" spans="1:3" x14ac:dyDescent="0.2">
      <c r="A1196"/>
      <c r="B1196"/>
      <c r="C1196"/>
    </row>
    <row r="1197" spans="1:3" x14ac:dyDescent="0.2">
      <c r="A1197"/>
      <c r="B1197"/>
      <c r="C1197"/>
    </row>
    <row r="1198" spans="1:3" x14ac:dyDescent="0.2">
      <c r="A1198"/>
      <c r="B1198"/>
      <c r="C1198"/>
    </row>
    <row r="1199" spans="1:3" x14ac:dyDescent="0.2">
      <c r="A1199"/>
      <c r="B1199"/>
      <c r="C1199"/>
    </row>
    <row r="1200" spans="1:3" x14ac:dyDescent="0.2">
      <c r="A1200"/>
      <c r="B1200"/>
      <c r="C1200"/>
    </row>
    <row r="1201" spans="1:3" x14ac:dyDescent="0.2">
      <c r="A1201"/>
      <c r="B1201"/>
      <c r="C1201"/>
    </row>
    <row r="1202" spans="1:3" x14ac:dyDescent="0.2">
      <c r="A1202"/>
      <c r="B1202"/>
      <c r="C1202"/>
    </row>
    <row r="1203" spans="1:3" x14ac:dyDescent="0.2">
      <c r="A1203"/>
      <c r="B1203"/>
      <c r="C1203"/>
    </row>
    <row r="1204" spans="1:3" x14ac:dyDescent="0.2">
      <c r="A1204"/>
      <c r="B1204"/>
      <c r="C1204"/>
    </row>
    <row r="1205" spans="1:3" x14ac:dyDescent="0.2">
      <c r="A1205"/>
      <c r="B1205"/>
      <c r="C1205"/>
    </row>
    <row r="1206" spans="1:3" x14ac:dyDescent="0.2">
      <c r="A1206"/>
      <c r="B1206"/>
      <c r="C1206"/>
    </row>
    <row r="1207" spans="1:3" x14ac:dyDescent="0.2">
      <c r="A1207"/>
      <c r="B1207"/>
      <c r="C1207"/>
    </row>
    <row r="1208" spans="1:3" x14ac:dyDescent="0.2">
      <c r="A1208"/>
      <c r="B1208"/>
      <c r="C1208"/>
    </row>
    <row r="1209" spans="1:3" x14ac:dyDescent="0.2">
      <c r="A1209"/>
      <c r="B1209"/>
      <c r="C1209"/>
    </row>
    <row r="1210" spans="1:3" x14ac:dyDescent="0.2">
      <c r="A1210"/>
      <c r="B1210"/>
      <c r="C1210"/>
    </row>
    <row r="1211" spans="1:3" x14ac:dyDescent="0.2">
      <c r="A1211"/>
      <c r="B1211"/>
      <c r="C1211"/>
    </row>
    <row r="1212" spans="1:3" x14ac:dyDescent="0.2">
      <c r="A1212"/>
      <c r="B1212"/>
      <c r="C1212"/>
    </row>
    <row r="1213" spans="1:3" x14ac:dyDescent="0.2">
      <c r="A1213"/>
      <c r="B1213"/>
      <c r="C1213"/>
    </row>
    <row r="1214" spans="1:3" x14ac:dyDescent="0.2">
      <c r="A1214"/>
      <c r="B1214"/>
      <c r="C1214"/>
    </row>
    <row r="1215" spans="1:3" x14ac:dyDescent="0.2">
      <c r="A1215"/>
      <c r="B1215"/>
      <c r="C1215"/>
    </row>
    <row r="1216" spans="1:3" x14ac:dyDescent="0.2">
      <c r="A1216"/>
      <c r="B1216"/>
      <c r="C1216"/>
    </row>
    <row r="1217" spans="1:3" x14ac:dyDescent="0.2">
      <c r="A1217"/>
      <c r="B1217"/>
      <c r="C1217"/>
    </row>
    <row r="1218" spans="1:3" x14ac:dyDescent="0.2">
      <c r="A1218"/>
      <c r="B1218"/>
      <c r="C1218"/>
    </row>
    <row r="1219" spans="1:3" x14ac:dyDescent="0.2">
      <c r="A1219"/>
      <c r="B1219"/>
      <c r="C1219"/>
    </row>
    <row r="1220" spans="1:3" x14ac:dyDescent="0.2">
      <c r="A1220"/>
      <c r="B1220"/>
      <c r="C1220"/>
    </row>
    <row r="1221" spans="1:3" x14ac:dyDescent="0.2">
      <c r="A1221"/>
      <c r="B1221"/>
      <c r="C1221"/>
    </row>
    <row r="1222" spans="1:3" x14ac:dyDescent="0.2">
      <c r="A1222"/>
      <c r="B1222"/>
      <c r="C1222"/>
    </row>
    <row r="1223" spans="1:3" x14ac:dyDescent="0.2">
      <c r="A1223"/>
      <c r="B1223"/>
      <c r="C1223"/>
    </row>
    <row r="1224" spans="1:3" x14ac:dyDescent="0.2">
      <c r="A1224"/>
      <c r="B1224"/>
      <c r="C1224"/>
    </row>
    <row r="1225" spans="1:3" x14ac:dyDescent="0.2">
      <c r="A1225"/>
      <c r="B1225"/>
      <c r="C1225"/>
    </row>
    <row r="1226" spans="1:3" x14ac:dyDescent="0.2">
      <c r="A1226"/>
      <c r="B1226"/>
      <c r="C1226"/>
    </row>
    <row r="1227" spans="1:3" x14ac:dyDescent="0.2">
      <c r="A1227"/>
      <c r="B1227"/>
      <c r="C1227"/>
    </row>
    <row r="1228" spans="1:3" x14ac:dyDescent="0.2">
      <c r="A1228"/>
      <c r="B1228"/>
      <c r="C1228"/>
    </row>
    <row r="1229" spans="1:3" x14ac:dyDescent="0.2">
      <c r="A1229"/>
      <c r="B1229"/>
      <c r="C1229"/>
    </row>
    <row r="1230" spans="1:3" x14ac:dyDescent="0.2">
      <c r="A1230"/>
      <c r="B1230"/>
      <c r="C1230"/>
    </row>
    <row r="1231" spans="1:3" x14ac:dyDescent="0.2">
      <c r="A1231"/>
      <c r="B1231"/>
      <c r="C1231"/>
    </row>
    <row r="1232" spans="1:3" x14ac:dyDescent="0.2">
      <c r="A1232"/>
      <c r="B1232"/>
      <c r="C1232"/>
    </row>
    <row r="1233" spans="1:3" x14ac:dyDescent="0.2">
      <c r="A1233"/>
      <c r="B1233"/>
      <c r="C1233"/>
    </row>
    <row r="1234" spans="1:3" x14ac:dyDescent="0.2">
      <c r="A1234"/>
      <c r="B1234"/>
      <c r="C1234"/>
    </row>
    <row r="1235" spans="1:3" x14ac:dyDescent="0.2">
      <c r="A1235"/>
      <c r="B1235"/>
      <c r="C1235"/>
    </row>
    <row r="1236" spans="1:3" x14ac:dyDescent="0.2">
      <c r="A1236"/>
      <c r="B1236"/>
      <c r="C1236"/>
    </row>
    <row r="1237" spans="1:3" x14ac:dyDescent="0.2">
      <c r="A1237"/>
      <c r="B1237"/>
      <c r="C1237"/>
    </row>
    <row r="1238" spans="1:3" x14ac:dyDescent="0.2">
      <c r="A1238"/>
      <c r="B1238"/>
      <c r="C1238"/>
    </row>
    <row r="1239" spans="1:3" x14ac:dyDescent="0.2">
      <c r="A1239"/>
      <c r="B1239"/>
      <c r="C1239"/>
    </row>
    <row r="1240" spans="1:3" x14ac:dyDescent="0.2">
      <c r="A1240"/>
      <c r="B1240"/>
      <c r="C1240"/>
    </row>
    <row r="1241" spans="1:3" x14ac:dyDescent="0.2">
      <c r="A1241"/>
      <c r="B1241"/>
      <c r="C1241"/>
    </row>
    <row r="1242" spans="1:3" x14ac:dyDescent="0.2">
      <c r="A1242"/>
      <c r="B1242"/>
      <c r="C1242"/>
    </row>
    <row r="1243" spans="1:3" x14ac:dyDescent="0.2">
      <c r="A1243"/>
      <c r="B1243"/>
      <c r="C1243"/>
    </row>
    <row r="1244" spans="1:3" x14ac:dyDescent="0.2">
      <c r="A1244"/>
      <c r="B1244"/>
      <c r="C1244"/>
    </row>
    <row r="1245" spans="1:3" x14ac:dyDescent="0.2">
      <c r="A1245"/>
      <c r="B1245"/>
      <c r="C1245"/>
    </row>
    <row r="1246" spans="1:3" x14ac:dyDescent="0.2">
      <c r="A1246"/>
      <c r="B1246"/>
      <c r="C1246"/>
    </row>
    <row r="1247" spans="1:3" x14ac:dyDescent="0.2">
      <c r="A1247"/>
      <c r="B1247"/>
      <c r="C1247"/>
    </row>
    <row r="1248" spans="1:3" x14ac:dyDescent="0.2">
      <c r="A1248"/>
      <c r="B1248"/>
      <c r="C1248"/>
    </row>
    <row r="1249" spans="1:3" x14ac:dyDescent="0.2">
      <c r="A1249"/>
      <c r="B1249"/>
      <c r="C1249"/>
    </row>
    <row r="1250" spans="1:3" x14ac:dyDescent="0.2">
      <c r="A1250"/>
      <c r="B1250"/>
      <c r="C1250"/>
    </row>
    <row r="1251" spans="1:3" x14ac:dyDescent="0.2">
      <c r="A1251"/>
      <c r="B1251"/>
      <c r="C1251"/>
    </row>
    <row r="1252" spans="1:3" x14ac:dyDescent="0.2">
      <c r="A1252"/>
      <c r="B1252"/>
      <c r="C1252"/>
    </row>
    <row r="1253" spans="1:3" x14ac:dyDescent="0.2">
      <c r="A1253"/>
      <c r="B1253"/>
      <c r="C1253"/>
    </row>
    <row r="1254" spans="1:3" x14ac:dyDescent="0.2">
      <c r="A1254"/>
      <c r="B1254"/>
      <c r="C1254"/>
    </row>
    <row r="1255" spans="1:3" x14ac:dyDescent="0.2">
      <c r="A1255"/>
      <c r="B1255"/>
      <c r="C1255"/>
    </row>
    <row r="1256" spans="1:3" x14ac:dyDescent="0.2">
      <c r="A1256"/>
      <c r="B1256"/>
      <c r="C1256"/>
    </row>
    <row r="1257" spans="1:3" x14ac:dyDescent="0.2">
      <c r="A1257"/>
      <c r="B1257"/>
      <c r="C1257"/>
    </row>
    <row r="1258" spans="1:3" x14ac:dyDescent="0.2">
      <c r="A1258"/>
      <c r="B1258"/>
      <c r="C1258"/>
    </row>
    <row r="1259" spans="1:3" x14ac:dyDescent="0.2">
      <c r="A1259"/>
      <c r="B1259"/>
      <c r="C1259"/>
    </row>
    <row r="1260" spans="1:3" x14ac:dyDescent="0.2">
      <c r="A1260"/>
      <c r="B1260"/>
      <c r="C1260"/>
    </row>
    <row r="1261" spans="1:3" x14ac:dyDescent="0.2">
      <c r="A1261"/>
      <c r="B1261"/>
      <c r="C1261"/>
    </row>
    <row r="1262" spans="1:3" x14ac:dyDescent="0.2">
      <c r="A1262"/>
      <c r="B1262"/>
      <c r="C1262"/>
    </row>
    <row r="1263" spans="1:3" x14ac:dyDescent="0.2">
      <c r="A1263"/>
      <c r="B1263"/>
      <c r="C1263"/>
    </row>
    <row r="1264" spans="1:3" x14ac:dyDescent="0.2">
      <c r="A1264"/>
      <c r="B1264"/>
      <c r="C1264"/>
    </row>
    <row r="1265" spans="1:3" x14ac:dyDescent="0.2">
      <c r="A1265"/>
      <c r="B1265"/>
      <c r="C1265"/>
    </row>
    <row r="1266" spans="1:3" x14ac:dyDescent="0.2">
      <c r="A1266"/>
      <c r="B1266"/>
      <c r="C1266"/>
    </row>
    <row r="1267" spans="1:3" x14ac:dyDescent="0.2">
      <c r="A1267"/>
      <c r="B1267"/>
      <c r="C1267"/>
    </row>
    <row r="1268" spans="1:3" x14ac:dyDescent="0.2">
      <c r="A1268"/>
      <c r="B1268"/>
      <c r="C1268"/>
    </row>
    <row r="1269" spans="1:3" x14ac:dyDescent="0.2">
      <c r="A1269"/>
      <c r="B1269"/>
      <c r="C1269"/>
    </row>
    <row r="1270" spans="1:3" x14ac:dyDescent="0.2">
      <c r="A1270"/>
      <c r="B1270"/>
      <c r="C1270"/>
    </row>
    <row r="1271" spans="1:3" x14ac:dyDescent="0.2">
      <c r="A1271"/>
      <c r="B1271"/>
      <c r="C1271"/>
    </row>
    <row r="1272" spans="1:3" x14ac:dyDescent="0.2">
      <c r="A1272"/>
      <c r="B1272"/>
      <c r="C1272"/>
    </row>
    <row r="1273" spans="1:3" x14ac:dyDescent="0.2">
      <c r="A1273"/>
      <c r="B1273"/>
      <c r="C1273"/>
    </row>
    <row r="1274" spans="1:3" x14ac:dyDescent="0.2">
      <c r="A1274"/>
      <c r="B1274"/>
      <c r="C1274"/>
    </row>
    <row r="1275" spans="1:3" x14ac:dyDescent="0.2">
      <c r="A1275"/>
      <c r="B1275"/>
      <c r="C1275"/>
    </row>
    <row r="1276" spans="1:3" x14ac:dyDescent="0.2">
      <c r="A1276"/>
      <c r="B1276"/>
      <c r="C1276"/>
    </row>
    <row r="1277" spans="1:3" x14ac:dyDescent="0.2">
      <c r="A1277"/>
      <c r="B1277"/>
      <c r="C1277"/>
    </row>
    <row r="1278" spans="1:3" x14ac:dyDescent="0.2">
      <c r="A1278"/>
      <c r="B1278"/>
      <c r="C1278"/>
    </row>
    <row r="1279" spans="1:3" x14ac:dyDescent="0.2">
      <c r="A1279"/>
      <c r="B1279"/>
      <c r="C1279"/>
    </row>
    <row r="1280" spans="1:3" x14ac:dyDescent="0.2">
      <c r="A1280"/>
      <c r="B1280"/>
      <c r="C1280"/>
    </row>
    <row r="1281" spans="1:3" x14ac:dyDescent="0.2">
      <c r="A1281"/>
      <c r="B1281"/>
      <c r="C1281"/>
    </row>
    <row r="1282" spans="1:3" x14ac:dyDescent="0.2">
      <c r="A1282"/>
      <c r="B1282"/>
      <c r="C1282"/>
    </row>
    <row r="1283" spans="1:3" x14ac:dyDescent="0.2">
      <c r="A1283"/>
      <c r="B1283"/>
      <c r="C1283"/>
    </row>
    <row r="1284" spans="1:3" x14ac:dyDescent="0.2">
      <c r="A1284"/>
      <c r="B1284"/>
      <c r="C1284"/>
    </row>
    <row r="1285" spans="1:3" x14ac:dyDescent="0.2">
      <c r="A1285"/>
      <c r="B1285"/>
      <c r="C1285"/>
    </row>
    <row r="1286" spans="1:3" x14ac:dyDescent="0.2">
      <c r="A1286"/>
      <c r="B1286"/>
      <c r="C1286"/>
    </row>
    <row r="1287" spans="1:3" x14ac:dyDescent="0.2">
      <c r="A1287"/>
      <c r="B1287"/>
      <c r="C1287"/>
    </row>
    <row r="1288" spans="1:3" x14ac:dyDescent="0.2">
      <c r="A1288"/>
      <c r="B1288"/>
      <c r="C1288"/>
    </row>
    <row r="1289" spans="1:3" x14ac:dyDescent="0.2">
      <c r="A1289"/>
      <c r="B1289"/>
      <c r="C1289"/>
    </row>
    <row r="1290" spans="1:3" x14ac:dyDescent="0.2">
      <c r="A1290"/>
      <c r="B1290"/>
      <c r="C1290"/>
    </row>
    <row r="1291" spans="1:3" x14ac:dyDescent="0.2">
      <c r="A1291"/>
      <c r="B1291"/>
      <c r="C1291"/>
    </row>
    <row r="1292" spans="1:3" x14ac:dyDescent="0.2">
      <c r="A1292"/>
      <c r="B1292"/>
      <c r="C1292"/>
    </row>
    <row r="1293" spans="1:3" x14ac:dyDescent="0.2">
      <c r="A1293"/>
      <c r="B1293"/>
      <c r="C1293"/>
    </row>
    <row r="1294" spans="1:3" x14ac:dyDescent="0.2">
      <c r="A1294"/>
      <c r="B1294"/>
      <c r="C1294"/>
    </row>
    <row r="1295" spans="1:3" x14ac:dyDescent="0.2">
      <c r="A1295"/>
      <c r="B1295"/>
      <c r="C1295"/>
    </row>
    <row r="1296" spans="1:3" x14ac:dyDescent="0.2">
      <c r="A1296"/>
      <c r="B1296"/>
      <c r="C1296"/>
    </row>
    <row r="1297" spans="1:3" x14ac:dyDescent="0.2">
      <c r="A1297"/>
      <c r="B1297"/>
      <c r="C1297"/>
    </row>
    <row r="1298" spans="1:3" x14ac:dyDescent="0.2">
      <c r="A1298"/>
      <c r="B1298"/>
      <c r="C1298"/>
    </row>
    <row r="1299" spans="1:3" x14ac:dyDescent="0.2">
      <c r="A1299"/>
      <c r="B1299"/>
      <c r="C1299"/>
    </row>
    <row r="1300" spans="1:3" x14ac:dyDescent="0.2">
      <c r="A1300"/>
      <c r="B1300"/>
      <c r="C1300"/>
    </row>
    <row r="1301" spans="1:3" x14ac:dyDescent="0.2">
      <c r="A1301"/>
      <c r="B1301"/>
      <c r="C1301"/>
    </row>
    <row r="1302" spans="1:3" x14ac:dyDescent="0.2">
      <c r="A1302"/>
      <c r="B1302"/>
      <c r="C1302"/>
    </row>
    <row r="1303" spans="1:3" x14ac:dyDescent="0.2">
      <c r="A1303"/>
      <c r="B1303"/>
      <c r="C1303"/>
    </row>
    <row r="1304" spans="1:3" x14ac:dyDescent="0.2">
      <c r="A1304"/>
      <c r="B1304"/>
      <c r="C1304"/>
    </row>
    <row r="1305" spans="1:3" x14ac:dyDescent="0.2">
      <c r="A1305"/>
      <c r="B1305"/>
      <c r="C1305"/>
    </row>
    <row r="1306" spans="1:3" x14ac:dyDescent="0.2">
      <c r="A1306"/>
      <c r="B1306"/>
      <c r="C1306"/>
    </row>
    <row r="1307" spans="1:3" x14ac:dyDescent="0.2">
      <c r="A1307"/>
      <c r="B1307"/>
      <c r="C1307"/>
    </row>
    <row r="1308" spans="1:3" x14ac:dyDescent="0.2">
      <c r="A1308"/>
      <c r="B1308"/>
      <c r="C1308"/>
    </row>
    <row r="1309" spans="1:3" x14ac:dyDescent="0.2">
      <c r="A1309"/>
      <c r="B1309"/>
      <c r="C1309"/>
    </row>
    <row r="1310" spans="1:3" x14ac:dyDescent="0.2">
      <c r="A1310"/>
      <c r="B1310"/>
      <c r="C1310"/>
    </row>
    <row r="1311" spans="1:3" x14ac:dyDescent="0.2">
      <c r="A1311"/>
      <c r="B1311"/>
      <c r="C1311"/>
    </row>
    <row r="1312" spans="1:3" x14ac:dyDescent="0.2">
      <c r="A1312"/>
      <c r="B1312"/>
      <c r="C1312"/>
    </row>
    <row r="1313" spans="1:3" x14ac:dyDescent="0.2">
      <c r="A1313"/>
      <c r="B1313"/>
      <c r="C1313"/>
    </row>
    <row r="1314" spans="1:3" x14ac:dyDescent="0.2">
      <c r="A1314"/>
      <c r="B1314"/>
      <c r="C1314"/>
    </row>
    <row r="1315" spans="1:3" x14ac:dyDescent="0.2">
      <c r="A1315"/>
      <c r="B1315"/>
      <c r="C1315"/>
    </row>
    <row r="1316" spans="1:3" x14ac:dyDescent="0.2">
      <c r="A1316"/>
      <c r="B1316"/>
      <c r="C1316"/>
    </row>
    <row r="1317" spans="1:3" x14ac:dyDescent="0.2">
      <c r="A1317"/>
      <c r="B1317"/>
      <c r="C1317"/>
    </row>
    <row r="1318" spans="1:3" x14ac:dyDescent="0.2">
      <c r="A1318"/>
      <c r="B1318"/>
      <c r="C1318"/>
    </row>
    <row r="1319" spans="1:3" x14ac:dyDescent="0.2">
      <c r="A1319"/>
      <c r="B1319"/>
      <c r="C1319"/>
    </row>
    <row r="1320" spans="1:3" x14ac:dyDescent="0.2">
      <c r="A1320"/>
      <c r="B1320"/>
      <c r="C1320"/>
    </row>
    <row r="1321" spans="1:3" x14ac:dyDescent="0.2">
      <c r="A1321"/>
      <c r="B1321"/>
      <c r="C1321"/>
    </row>
    <row r="1322" spans="1:3" x14ac:dyDescent="0.2">
      <c r="A1322"/>
      <c r="B1322"/>
      <c r="C1322"/>
    </row>
    <row r="1323" spans="1:3" x14ac:dyDescent="0.2">
      <c r="A1323"/>
      <c r="B1323"/>
      <c r="C1323"/>
    </row>
    <row r="1324" spans="1:3" x14ac:dyDescent="0.2">
      <c r="A1324"/>
      <c r="B1324"/>
      <c r="C1324"/>
    </row>
    <row r="1325" spans="1:3" x14ac:dyDescent="0.2">
      <c r="A1325"/>
      <c r="B1325"/>
      <c r="C1325"/>
    </row>
    <row r="1326" spans="1:3" x14ac:dyDescent="0.2">
      <c r="A1326"/>
      <c r="B1326"/>
      <c r="C1326"/>
    </row>
    <row r="1327" spans="1:3" x14ac:dyDescent="0.2">
      <c r="A1327"/>
      <c r="B1327"/>
      <c r="C1327"/>
    </row>
    <row r="1328" spans="1:3" x14ac:dyDescent="0.2">
      <c r="A1328"/>
      <c r="B1328"/>
      <c r="C1328"/>
    </row>
    <row r="1329" spans="1:3" x14ac:dyDescent="0.2">
      <c r="A1329"/>
      <c r="B1329"/>
      <c r="C1329"/>
    </row>
    <row r="1330" spans="1:3" x14ac:dyDescent="0.2">
      <c r="A1330"/>
      <c r="B1330"/>
      <c r="C1330"/>
    </row>
    <row r="1331" spans="1:3" x14ac:dyDescent="0.2">
      <c r="A1331"/>
      <c r="B1331"/>
      <c r="C1331"/>
    </row>
    <row r="1332" spans="1:3" x14ac:dyDescent="0.2">
      <c r="A1332"/>
      <c r="B1332"/>
      <c r="C1332"/>
    </row>
    <row r="1333" spans="1:3" x14ac:dyDescent="0.2">
      <c r="A1333"/>
      <c r="B1333"/>
      <c r="C1333"/>
    </row>
    <row r="1334" spans="1:3" x14ac:dyDescent="0.2">
      <c r="A1334"/>
      <c r="B1334"/>
      <c r="C1334"/>
    </row>
    <row r="1335" spans="1:3" x14ac:dyDescent="0.2">
      <c r="A1335"/>
      <c r="B1335"/>
      <c r="C1335"/>
    </row>
    <row r="1336" spans="1:3" x14ac:dyDescent="0.2">
      <c r="A1336"/>
      <c r="B1336"/>
      <c r="C1336"/>
    </row>
    <row r="1337" spans="1:3" x14ac:dyDescent="0.2">
      <c r="A1337"/>
      <c r="B1337"/>
      <c r="C1337"/>
    </row>
    <row r="1338" spans="1:3" x14ac:dyDescent="0.2">
      <c r="A1338"/>
      <c r="B1338"/>
      <c r="C1338"/>
    </row>
    <row r="1339" spans="1:3" x14ac:dyDescent="0.2">
      <c r="A1339"/>
      <c r="B1339"/>
      <c r="C1339"/>
    </row>
    <row r="1340" spans="1:3" x14ac:dyDescent="0.2">
      <c r="A1340"/>
      <c r="B1340"/>
      <c r="C1340"/>
    </row>
    <row r="1341" spans="1:3" x14ac:dyDescent="0.2">
      <c r="A1341"/>
      <c r="B1341"/>
      <c r="C1341"/>
    </row>
    <row r="1342" spans="1:3" x14ac:dyDescent="0.2">
      <c r="A1342"/>
      <c r="B1342"/>
      <c r="C1342"/>
    </row>
    <row r="1343" spans="1:3" x14ac:dyDescent="0.2">
      <c r="A1343"/>
      <c r="B1343"/>
      <c r="C1343"/>
    </row>
    <row r="1344" spans="1:3" x14ac:dyDescent="0.2">
      <c r="A1344"/>
      <c r="B1344"/>
      <c r="C1344"/>
    </row>
    <row r="1345" spans="1:3" x14ac:dyDescent="0.2">
      <c r="A1345"/>
      <c r="B1345"/>
      <c r="C1345"/>
    </row>
    <row r="1346" spans="1:3" x14ac:dyDescent="0.2">
      <c r="A1346"/>
      <c r="B1346"/>
      <c r="C1346"/>
    </row>
    <row r="1347" spans="1:3" x14ac:dyDescent="0.2">
      <c r="A1347"/>
      <c r="B1347"/>
      <c r="C1347"/>
    </row>
    <row r="1348" spans="1:3" x14ac:dyDescent="0.2">
      <c r="A1348"/>
      <c r="B1348"/>
      <c r="C1348"/>
    </row>
    <row r="1349" spans="1:3" x14ac:dyDescent="0.2">
      <c r="A1349"/>
      <c r="B1349"/>
      <c r="C1349"/>
    </row>
    <row r="1350" spans="1:3" x14ac:dyDescent="0.2">
      <c r="A1350"/>
      <c r="B1350"/>
      <c r="C1350"/>
    </row>
    <row r="1351" spans="1:3" x14ac:dyDescent="0.2">
      <c r="A1351"/>
      <c r="B1351"/>
      <c r="C1351"/>
    </row>
    <row r="1352" spans="1:3" x14ac:dyDescent="0.2">
      <c r="A1352"/>
      <c r="B1352"/>
      <c r="C1352"/>
    </row>
    <row r="1353" spans="1:3" x14ac:dyDescent="0.2">
      <c r="A1353"/>
      <c r="B1353"/>
      <c r="C1353"/>
    </row>
    <row r="1354" spans="1:3" x14ac:dyDescent="0.2">
      <c r="A1354"/>
      <c r="B1354"/>
      <c r="C1354"/>
    </row>
    <row r="1355" spans="1:3" x14ac:dyDescent="0.2">
      <c r="A1355"/>
      <c r="B1355"/>
      <c r="C1355"/>
    </row>
    <row r="1356" spans="1:3" x14ac:dyDescent="0.2">
      <c r="A1356"/>
      <c r="B1356"/>
      <c r="C1356"/>
    </row>
    <row r="1357" spans="1:3" x14ac:dyDescent="0.2">
      <c r="A1357"/>
      <c r="B1357"/>
      <c r="C1357"/>
    </row>
    <row r="1358" spans="1:3" x14ac:dyDescent="0.2">
      <c r="A1358"/>
      <c r="B1358"/>
      <c r="C1358"/>
    </row>
    <row r="1359" spans="1:3" x14ac:dyDescent="0.2">
      <c r="A1359"/>
      <c r="B1359"/>
      <c r="C1359"/>
    </row>
    <row r="1360" spans="1:3" x14ac:dyDescent="0.2">
      <c r="A1360"/>
      <c r="B1360"/>
      <c r="C1360"/>
    </row>
    <row r="1361" spans="1:3" x14ac:dyDescent="0.2">
      <c r="A1361"/>
      <c r="B1361"/>
      <c r="C1361"/>
    </row>
    <row r="1362" spans="1:3" x14ac:dyDescent="0.2">
      <c r="A1362"/>
      <c r="B1362"/>
      <c r="C1362"/>
    </row>
    <row r="1363" spans="1:3" x14ac:dyDescent="0.2">
      <c r="A1363"/>
      <c r="B1363"/>
      <c r="C1363"/>
    </row>
    <row r="1364" spans="1:3" x14ac:dyDescent="0.2">
      <c r="A1364"/>
      <c r="B1364"/>
      <c r="C1364"/>
    </row>
    <row r="1365" spans="1:3" x14ac:dyDescent="0.2">
      <c r="A1365"/>
      <c r="B1365"/>
      <c r="C1365"/>
    </row>
    <row r="1366" spans="1:3" x14ac:dyDescent="0.2">
      <c r="A1366"/>
      <c r="B1366"/>
      <c r="C1366"/>
    </row>
    <row r="1367" spans="1:3" x14ac:dyDescent="0.2">
      <c r="A1367"/>
      <c r="B1367"/>
      <c r="C1367"/>
    </row>
    <row r="1368" spans="1:3" x14ac:dyDescent="0.2">
      <c r="A1368"/>
      <c r="B1368"/>
      <c r="C1368"/>
    </row>
    <row r="1369" spans="1:3" x14ac:dyDescent="0.2">
      <c r="A1369"/>
      <c r="B1369"/>
      <c r="C1369"/>
    </row>
    <row r="1370" spans="1:3" x14ac:dyDescent="0.2">
      <c r="A1370"/>
      <c r="B1370"/>
      <c r="C1370"/>
    </row>
    <row r="1371" spans="1:3" x14ac:dyDescent="0.2">
      <c r="A1371"/>
      <c r="B1371"/>
      <c r="C1371"/>
    </row>
    <row r="1372" spans="1:3" x14ac:dyDescent="0.2">
      <c r="A1372"/>
      <c r="B1372"/>
      <c r="C1372"/>
    </row>
    <row r="1373" spans="1:3" x14ac:dyDescent="0.2">
      <c r="A1373"/>
      <c r="B1373"/>
      <c r="C1373"/>
    </row>
    <row r="1374" spans="1:3" x14ac:dyDescent="0.2">
      <c r="A1374"/>
      <c r="B1374"/>
      <c r="C1374"/>
    </row>
    <row r="1375" spans="1:3" x14ac:dyDescent="0.2">
      <c r="A1375"/>
      <c r="B1375"/>
      <c r="C1375"/>
    </row>
    <row r="1376" spans="1:3" x14ac:dyDescent="0.2">
      <c r="A1376"/>
      <c r="B1376"/>
      <c r="C1376"/>
    </row>
    <row r="1377" spans="1:3" x14ac:dyDescent="0.2">
      <c r="A1377"/>
      <c r="B1377"/>
      <c r="C1377"/>
    </row>
    <row r="1378" spans="1:3" x14ac:dyDescent="0.2">
      <c r="A1378"/>
      <c r="B1378"/>
      <c r="C1378"/>
    </row>
    <row r="1379" spans="1:3" x14ac:dyDescent="0.2">
      <c r="A1379"/>
      <c r="B1379"/>
      <c r="C1379"/>
    </row>
    <row r="1380" spans="1:3" x14ac:dyDescent="0.2">
      <c r="A1380"/>
      <c r="B1380"/>
      <c r="C1380"/>
    </row>
    <row r="1381" spans="1:3" x14ac:dyDescent="0.2">
      <c r="A1381"/>
      <c r="B1381"/>
      <c r="C1381"/>
    </row>
    <row r="1382" spans="1:3" x14ac:dyDescent="0.2">
      <c r="A1382"/>
      <c r="B1382"/>
      <c r="C1382"/>
    </row>
    <row r="1383" spans="1:3" x14ac:dyDescent="0.2">
      <c r="A1383"/>
      <c r="B1383"/>
      <c r="C1383"/>
    </row>
    <row r="1384" spans="1:3" x14ac:dyDescent="0.2">
      <c r="A1384"/>
      <c r="B1384"/>
      <c r="C1384"/>
    </row>
    <row r="1385" spans="1:3" x14ac:dyDescent="0.2">
      <c r="A1385"/>
      <c r="B1385"/>
      <c r="C1385"/>
    </row>
    <row r="1386" spans="1:3" x14ac:dyDescent="0.2">
      <c r="A1386"/>
      <c r="B1386"/>
      <c r="C1386"/>
    </row>
    <row r="1387" spans="1:3" x14ac:dyDescent="0.2">
      <c r="A1387"/>
      <c r="B1387"/>
      <c r="C1387"/>
    </row>
    <row r="1388" spans="1:3" x14ac:dyDescent="0.2">
      <c r="A1388"/>
      <c r="B1388"/>
      <c r="C1388"/>
    </row>
    <row r="1389" spans="1:3" x14ac:dyDescent="0.2">
      <c r="A1389"/>
      <c r="B1389"/>
      <c r="C1389"/>
    </row>
    <row r="1390" spans="1:3" x14ac:dyDescent="0.2">
      <c r="A1390"/>
      <c r="B1390"/>
      <c r="C1390"/>
    </row>
    <row r="1391" spans="1:3" x14ac:dyDescent="0.2">
      <c r="A1391"/>
      <c r="B1391"/>
      <c r="C1391"/>
    </row>
    <row r="1392" spans="1:3" x14ac:dyDescent="0.2">
      <c r="A1392"/>
      <c r="B1392"/>
      <c r="C1392"/>
    </row>
    <row r="1393" spans="1:3" x14ac:dyDescent="0.2">
      <c r="A1393"/>
      <c r="B1393"/>
      <c r="C1393"/>
    </row>
    <row r="1394" spans="1:3" x14ac:dyDescent="0.2">
      <c r="A1394"/>
      <c r="B1394"/>
      <c r="C1394"/>
    </row>
    <row r="1395" spans="1:3" x14ac:dyDescent="0.2">
      <c r="A1395"/>
      <c r="B1395"/>
      <c r="C1395"/>
    </row>
    <row r="1396" spans="1:3" x14ac:dyDescent="0.2">
      <c r="A1396"/>
      <c r="B1396"/>
      <c r="C1396"/>
    </row>
    <row r="1397" spans="1:3" x14ac:dyDescent="0.2">
      <c r="A1397"/>
      <c r="B1397"/>
      <c r="C1397"/>
    </row>
    <row r="1398" spans="1:3" x14ac:dyDescent="0.2">
      <c r="A1398"/>
      <c r="B1398"/>
      <c r="C1398"/>
    </row>
    <row r="1399" spans="1:3" x14ac:dyDescent="0.2">
      <c r="A1399"/>
      <c r="B1399"/>
      <c r="C1399"/>
    </row>
    <row r="1400" spans="1:3" x14ac:dyDescent="0.2">
      <c r="A1400"/>
      <c r="B1400"/>
      <c r="C1400"/>
    </row>
    <row r="1401" spans="1:3" x14ac:dyDescent="0.2">
      <c r="A1401"/>
      <c r="B1401"/>
      <c r="C1401"/>
    </row>
    <row r="1402" spans="1:3" x14ac:dyDescent="0.2">
      <c r="A1402"/>
      <c r="B1402"/>
      <c r="C1402"/>
    </row>
    <row r="1403" spans="1:3" x14ac:dyDescent="0.2">
      <c r="A1403"/>
      <c r="B1403"/>
      <c r="C1403"/>
    </row>
    <row r="1404" spans="1:3" x14ac:dyDescent="0.2">
      <c r="A1404"/>
      <c r="B1404"/>
      <c r="C1404"/>
    </row>
    <row r="1405" spans="1:3" x14ac:dyDescent="0.2">
      <c r="A1405"/>
      <c r="B1405"/>
      <c r="C1405"/>
    </row>
    <row r="1406" spans="1:3" x14ac:dyDescent="0.2">
      <c r="A1406"/>
      <c r="B1406"/>
      <c r="C1406"/>
    </row>
    <row r="1407" spans="1:3" x14ac:dyDescent="0.2">
      <c r="A1407"/>
      <c r="B1407"/>
      <c r="C1407"/>
    </row>
    <row r="1408" spans="1:3" x14ac:dyDescent="0.2">
      <c r="A1408"/>
      <c r="B1408"/>
      <c r="C1408"/>
    </row>
    <row r="1409" spans="1:3" x14ac:dyDescent="0.2">
      <c r="A1409"/>
      <c r="B1409"/>
      <c r="C1409"/>
    </row>
    <row r="1410" spans="1:3" x14ac:dyDescent="0.2">
      <c r="A1410"/>
      <c r="B1410"/>
      <c r="C1410"/>
    </row>
    <row r="1411" spans="1:3" x14ac:dyDescent="0.2">
      <c r="A1411"/>
      <c r="B1411"/>
      <c r="C1411"/>
    </row>
    <row r="1412" spans="1:3" x14ac:dyDescent="0.2">
      <c r="A1412"/>
      <c r="B1412"/>
      <c r="C1412"/>
    </row>
    <row r="1413" spans="1:3" x14ac:dyDescent="0.2">
      <c r="A1413"/>
      <c r="B1413"/>
      <c r="C1413"/>
    </row>
    <row r="1414" spans="1:3" x14ac:dyDescent="0.2">
      <c r="A1414"/>
      <c r="B1414"/>
      <c r="C1414"/>
    </row>
    <row r="1415" spans="1:3" x14ac:dyDescent="0.2">
      <c r="A1415"/>
      <c r="B1415"/>
      <c r="C1415"/>
    </row>
    <row r="1416" spans="1:3" x14ac:dyDescent="0.2">
      <c r="A1416"/>
      <c r="B1416"/>
      <c r="C1416"/>
    </row>
    <row r="1417" spans="1:3" x14ac:dyDescent="0.2">
      <c r="A1417"/>
      <c r="B1417"/>
      <c r="C1417"/>
    </row>
    <row r="1418" spans="1:3" x14ac:dyDescent="0.2">
      <c r="A1418"/>
      <c r="B1418"/>
      <c r="C1418"/>
    </row>
    <row r="1419" spans="1:3" x14ac:dyDescent="0.2">
      <c r="A1419"/>
      <c r="B1419"/>
      <c r="C1419"/>
    </row>
  </sheetData>
  <sheetProtection formatColumns="0" formatRows="0" insertColumns="0" insertRows="0"/>
  <mergeCells count="1">
    <mergeCell ref="A1:G1"/>
  </mergeCells>
  <phoneticPr fontId="18" type="noConversion"/>
  <pageMargins left="0.7" right="0.7" top="0.75" bottom="0.75" header="0.3" footer="0.3"/>
  <pageSetup orientation="landscape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81F03-E298-451C-8945-2C9A013166F2}">
  <sheetPr codeName="Sheet14">
    <tabColor rgb="FFC00000"/>
  </sheetPr>
  <dimension ref="A1:F941"/>
  <sheetViews>
    <sheetView zoomScale="92" zoomScaleNormal="37" workbookViewId="0">
      <pane ySplit="1" topLeftCell="A59" activePane="bottomLeft" state="frozen"/>
      <selection pane="bottomLeft" activeCell="A18" sqref="A18"/>
    </sheetView>
  </sheetViews>
  <sheetFormatPr baseColWidth="10" defaultColWidth="9.1640625" defaultRowHeight="15" x14ac:dyDescent="0.2"/>
  <cols>
    <col min="1" max="1" width="46.33203125" style="1" customWidth="1"/>
    <col min="2" max="2" width="27.5" style="1" customWidth="1"/>
    <col min="3" max="3" width="41.1640625" style="1" customWidth="1"/>
    <col min="4" max="4" width="9.33203125" style="1" bestFit="1" customWidth="1"/>
    <col min="5" max="6" width="21" style="1" bestFit="1" customWidth="1"/>
    <col min="7" max="16384" width="9.1640625" style="1"/>
  </cols>
  <sheetData>
    <row r="1" spans="1:6" ht="61.5" customHeight="1" x14ac:dyDescent="0.7">
      <c r="A1" s="31" t="s">
        <v>180</v>
      </c>
      <c r="B1" s="31"/>
      <c r="C1" s="31"/>
      <c r="D1" s="31"/>
      <c r="E1" s="31"/>
      <c r="F1" s="31"/>
    </row>
    <row r="2" spans="1:6" ht="19" x14ac:dyDescent="0.25">
      <c r="A2" s="16" t="s">
        <v>4</v>
      </c>
      <c r="B2" s="16" t="s">
        <v>3</v>
      </c>
      <c r="C2" s="16" t="s">
        <v>179</v>
      </c>
      <c r="D2" s="16" t="s">
        <v>10</v>
      </c>
      <c r="E2" s="6" t="s">
        <v>11</v>
      </c>
      <c r="F2" s="6" t="s">
        <v>181</v>
      </c>
    </row>
    <row r="3" spans="1:6" ht="19" x14ac:dyDescent="0.25">
      <c r="A3" s="17" t="s">
        <v>146</v>
      </c>
      <c r="B3" s="7" t="s">
        <v>47</v>
      </c>
      <c r="C3" s="7" t="s">
        <v>149</v>
      </c>
      <c r="D3" s="7">
        <v>0.37</v>
      </c>
      <c r="E3" s="7" t="s">
        <v>17</v>
      </c>
      <c r="F3" s="7" t="s">
        <v>182</v>
      </c>
    </row>
    <row r="4" spans="1:6" ht="19" x14ac:dyDescent="0.25">
      <c r="A4" s="17"/>
      <c r="B4" s="7" t="s">
        <v>68</v>
      </c>
      <c r="C4" s="7" t="s">
        <v>15</v>
      </c>
      <c r="D4" s="7">
        <v>0.03</v>
      </c>
      <c r="E4" s="7" t="s">
        <v>17</v>
      </c>
      <c r="F4" s="7" t="s">
        <v>183</v>
      </c>
    </row>
    <row r="5" spans="1:6" ht="19" x14ac:dyDescent="0.25">
      <c r="A5" s="17"/>
      <c r="B5" s="7" t="s">
        <v>69</v>
      </c>
      <c r="C5" s="7" t="s">
        <v>158</v>
      </c>
      <c r="D5" s="7">
        <v>0.53</v>
      </c>
      <c r="E5" s="7" t="s">
        <v>17</v>
      </c>
      <c r="F5" s="7" t="s">
        <v>184</v>
      </c>
    </row>
    <row r="6" spans="1:6" ht="19" x14ac:dyDescent="0.25">
      <c r="A6" s="17"/>
      <c r="B6" s="7" t="s">
        <v>82</v>
      </c>
      <c r="C6" s="7" t="s">
        <v>15</v>
      </c>
      <c r="D6" s="7">
        <v>0.01</v>
      </c>
      <c r="E6" s="7" t="s">
        <v>15</v>
      </c>
      <c r="F6" s="7" t="s">
        <v>185</v>
      </c>
    </row>
    <row r="7" spans="1:6" ht="19" x14ac:dyDescent="0.25">
      <c r="A7" s="17"/>
      <c r="B7" s="7" t="s">
        <v>91</v>
      </c>
      <c r="C7" s="7" t="s">
        <v>15</v>
      </c>
      <c r="D7" s="7">
        <v>0.3</v>
      </c>
      <c r="E7" s="7" t="s">
        <v>15</v>
      </c>
      <c r="F7" s="7" t="s">
        <v>186</v>
      </c>
    </row>
    <row r="8" spans="1:6" ht="19" x14ac:dyDescent="0.25">
      <c r="A8" s="17"/>
      <c r="B8" s="7" t="s">
        <v>92</v>
      </c>
      <c r="C8" s="7" t="s">
        <v>164</v>
      </c>
      <c r="D8" s="7">
        <v>0.75</v>
      </c>
      <c r="E8" s="7" t="s">
        <v>15</v>
      </c>
      <c r="F8" s="7" t="s">
        <v>187</v>
      </c>
    </row>
    <row r="9" spans="1:6" ht="19" x14ac:dyDescent="0.25">
      <c r="A9" s="17"/>
      <c r="B9" s="7" t="s">
        <v>102</v>
      </c>
      <c r="C9" s="7" t="s">
        <v>15</v>
      </c>
      <c r="D9" s="7">
        <v>0.02</v>
      </c>
      <c r="E9" s="7" t="s">
        <v>17</v>
      </c>
      <c r="F9" s="7" t="s">
        <v>188</v>
      </c>
    </row>
    <row r="10" spans="1:6" ht="19" x14ac:dyDescent="0.25">
      <c r="A10" s="17"/>
      <c r="B10" s="7" t="s">
        <v>103</v>
      </c>
      <c r="C10" s="7" t="s">
        <v>15</v>
      </c>
      <c r="D10" s="7">
        <v>0.01</v>
      </c>
      <c r="E10" s="7" t="s">
        <v>17</v>
      </c>
      <c r="F10" s="7" t="s">
        <v>189</v>
      </c>
    </row>
    <row r="11" spans="1:6" ht="19" x14ac:dyDescent="0.25">
      <c r="A11" s="17"/>
      <c r="B11" s="7" t="s">
        <v>112</v>
      </c>
      <c r="C11" s="7" t="s">
        <v>15</v>
      </c>
      <c r="D11" s="7">
        <v>0.06</v>
      </c>
      <c r="E11" s="7" t="s">
        <v>17</v>
      </c>
      <c r="F11" s="7" t="s">
        <v>190</v>
      </c>
    </row>
    <row r="12" spans="1:6" ht="19" x14ac:dyDescent="0.25">
      <c r="A12" s="17"/>
      <c r="B12" s="7" t="s">
        <v>114</v>
      </c>
      <c r="C12" s="7" t="s">
        <v>15</v>
      </c>
      <c r="D12" s="7">
        <v>0.01</v>
      </c>
      <c r="E12" s="7" t="s">
        <v>17</v>
      </c>
      <c r="F12" s="7" t="s">
        <v>191</v>
      </c>
    </row>
    <row r="13" spans="1:6" ht="19" x14ac:dyDescent="0.25">
      <c r="A13" s="17"/>
      <c r="B13" s="7" t="s">
        <v>44</v>
      </c>
      <c r="C13" s="7" t="s">
        <v>15</v>
      </c>
      <c r="D13" s="7">
        <v>0.82</v>
      </c>
      <c r="E13" s="7" t="s">
        <v>15</v>
      </c>
      <c r="F13" s="7" t="s">
        <v>192</v>
      </c>
    </row>
    <row r="14" spans="1:6" ht="19" x14ac:dyDescent="0.25">
      <c r="A14" s="17"/>
      <c r="B14" s="7" t="s">
        <v>25</v>
      </c>
      <c r="C14" s="7" t="s">
        <v>15</v>
      </c>
      <c r="D14" s="7">
        <v>1.6</v>
      </c>
      <c r="E14" s="7" t="s">
        <v>17</v>
      </c>
      <c r="F14" s="7" t="s">
        <v>695</v>
      </c>
    </row>
    <row r="15" spans="1:6" ht="19" x14ac:dyDescent="0.25">
      <c r="A15" s="17"/>
      <c r="B15" s="7" t="s">
        <v>133</v>
      </c>
      <c r="C15" s="7" t="s">
        <v>15</v>
      </c>
      <c r="D15" s="7">
        <v>0.28999999999999998</v>
      </c>
      <c r="E15" s="7" t="s">
        <v>17</v>
      </c>
      <c r="F15" s="7" t="s">
        <v>193</v>
      </c>
    </row>
    <row r="16" spans="1:6" ht="19" x14ac:dyDescent="0.25">
      <c r="A16" s="17"/>
      <c r="B16" s="7" t="s">
        <v>134</v>
      </c>
      <c r="C16" s="7" t="s">
        <v>15</v>
      </c>
      <c r="D16" s="7">
        <v>0.43</v>
      </c>
      <c r="E16" s="7" t="s">
        <v>17</v>
      </c>
      <c r="F16" s="7" t="s">
        <v>194</v>
      </c>
    </row>
    <row r="17" spans="1:6" ht="19" x14ac:dyDescent="0.25">
      <c r="A17" s="17"/>
      <c r="B17" s="7" t="s">
        <v>143</v>
      </c>
      <c r="C17" s="7" t="s">
        <v>15</v>
      </c>
      <c r="D17" s="7">
        <v>0.14000000000000001</v>
      </c>
      <c r="E17" s="7" t="s">
        <v>15</v>
      </c>
      <c r="F17" s="7" t="s">
        <v>195</v>
      </c>
    </row>
    <row r="18" spans="1:6" ht="19" x14ac:dyDescent="0.25">
      <c r="A18" s="17"/>
      <c r="B18" s="7" t="s">
        <v>696</v>
      </c>
      <c r="C18" s="7" t="s">
        <v>697</v>
      </c>
      <c r="D18" s="7" t="s">
        <v>15</v>
      </c>
      <c r="E18" s="7" t="s">
        <v>15</v>
      </c>
      <c r="F18" s="7" t="s">
        <v>698</v>
      </c>
    </row>
    <row r="19" spans="1:6" ht="19" x14ac:dyDescent="0.25">
      <c r="A19" s="17" t="s">
        <v>13</v>
      </c>
      <c r="B19" s="7" t="s">
        <v>56</v>
      </c>
      <c r="C19" s="7" t="s">
        <v>15</v>
      </c>
      <c r="D19" s="7">
        <v>0.4</v>
      </c>
      <c r="E19" s="7" t="s">
        <v>17</v>
      </c>
      <c r="F19" s="7" t="s">
        <v>196</v>
      </c>
    </row>
    <row r="20" spans="1:6" ht="19" x14ac:dyDescent="0.25">
      <c r="A20" s="17"/>
      <c r="B20" s="7" t="s">
        <v>62</v>
      </c>
      <c r="C20" s="7" t="s">
        <v>15</v>
      </c>
      <c r="D20" s="7">
        <v>0.56999999999999995</v>
      </c>
      <c r="E20" s="7" t="s">
        <v>15</v>
      </c>
      <c r="F20" s="7" t="s">
        <v>197</v>
      </c>
    </row>
    <row r="21" spans="1:6" ht="19" x14ac:dyDescent="0.25">
      <c r="A21" s="17"/>
      <c r="B21" s="7" t="s">
        <v>63</v>
      </c>
      <c r="C21" s="7" t="s">
        <v>15</v>
      </c>
      <c r="D21" s="7">
        <v>0.4</v>
      </c>
      <c r="E21" s="7" t="s">
        <v>15</v>
      </c>
      <c r="F21" s="7" t="s">
        <v>198</v>
      </c>
    </row>
    <row r="22" spans="1:6" ht="19" x14ac:dyDescent="0.25">
      <c r="A22" s="17"/>
      <c r="B22" s="7" t="s">
        <v>67</v>
      </c>
      <c r="C22" s="7" t="s">
        <v>15</v>
      </c>
      <c r="D22" s="7">
        <v>0.86</v>
      </c>
      <c r="E22" s="7" t="s">
        <v>17</v>
      </c>
      <c r="F22" s="7" t="s">
        <v>199</v>
      </c>
    </row>
    <row r="23" spans="1:6" ht="19" x14ac:dyDescent="0.25">
      <c r="A23" s="17"/>
      <c r="B23" s="7" t="s">
        <v>85</v>
      </c>
      <c r="C23" s="7" t="s">
        <v>15</v>
      </c>
      <c r="D23" s="7">
        <v>1.2</v>
      </c>
      <c r="E23" s="7" t="s">
        <v>17</v>
      </c>
      <c r="F23" s="7" t="s">
        <v>200</v>
      </c>
    </row>
    <row r="24" spans="1:6" ht="19" x14ac:dyDescent="0.25">
      <c r="A24" s="17"/>
      <c r="B24" s="7" t="s">
        <v>24</v>
      </c>
      <c r="C24" s="7" t="s">
        <v>15</v>
      </c>
      <c r="D24" s="7">
        <v>0.36</v>
      </c>
      <c r="E24" s="7" t="s">
        <v>15</v>
      </c>
      <c r="F24" s="7" t="s">
        <v>201</v>
      </c>
    </row>
    <row r="25" spans="1:6" ht="19" x14ac:dyDescent="0.25">
      <c r="A25" s="17"/>
      <c r="B25" s="7" t="s">
        <v>93</v>
      </c>
      <c r="C25" s="7" t="s">
        <v>15</v>
      </c>
      <c r="D25" s="7">
        <v>0.36</v>
      </c>
      <c r="E25" s="7" t="s">
        <v>15</v>
      </c>
      <c r="F25" s="7" t="s">
        <v>202</v>
      </c>
    </row>
    <row r="26" spans="1:6" ht="19" x14ac:dyDescent="0.25">
      <c r="A26" s="17"/>
      <c r="B26" s="7" t="s">
        <v>94</v>
      </c>
      <c r="C26" s="7" t="s">
        <v>15</v>
      </c>
      <c r="D26" s="7">
        <v>0.36</v>
      </c>
      <c r="E26" s="7" t="s">
        <v>17</v>
      </c>
      <c r="F26" s="7" t="s">
        <v>203</v>
      </c>
    </row>
    <row r="27" spans="1:6" ht="19" x14ac:dyDescent="0.25">
      <c r="A27" s="17"/>
      <c r="B27" s="7" t="s">
        <v>95</v>
      </c>
      <c r="C27" s="7" t="s">
        <v>15</v>
      </c>
      <c r="D27" s="7">
        <v>0.57999999999999996</v>
      </c>
      <c r="E27" s="7" t="s">
        <v>17</v>
      </c>
      <c r="F27" s="7" t="s">
        <v>204</v>
      </c>
    </row>
    <row r="28" spans="1:6" ht="19" x14ac:dyDescent="0.25">
      <c r="A28" s="17"/>
      <c r="B28" s="7" t="s">
        <v>96</v>
      </c>
      <c r="C28" s="7" t="s">
        <v>15</v>
      </c>
      <c r="D28" s="7">
        <v>0.06</v>
      </c>
      <c r="E28" s="7" t="s">
        <v>17</v>
      </c>
      <c r="F28" s="7" t="s">
        <v>205</v>
      </c>
    </row>
    <row r="29" spans="1:6" ht="19" x14ac:dyDescent="0.25">
      <c r="A29" s="17"/>
      <c r="B29" s="7" t="s">
        <v>97</v>
      </c>
      <c r="C29" s="7" t="s">
        <v>15</v>
      </c>
      <c r="D29" s="7">
        <v>7.0000000000000007E-2</v>
      </c>
      <c r="E29" s="7" t="s">
        <v>17</v>
      </c>
      <c r="F29" s="7" t="s">
        <v>206</v>
      </c>
    </row>
    <row r="30" spans="1:6" ht="19" x14ac:dyDescent="0.25">
      <c r="A30" s="17"/>
      <c r="B30" s="7" t="s">
        <v>98</v>
      </c>
      <c r="C30" s="7" t="s">
        <v>15</v>
      </c>
      <c r="D30" s="7">
        <v>0.06</v>
      </c>
      <c r="E30" s="7" t="s">
        <v>17</v>
      </c>
      <c r="F30" s="7" t="s">
        <v>207</v>
      </c>
    </row>
    <row r="31" spans="1:6" ht="19" x14ac:dyDescent="0.25">
      <c r="A31" s="17"/>
      <c r="B31" s="7" t="s">
        <v>99</v>
      </c>
      <c r="C31" s="7" t="s">
        <v>15</v>
      </c>
      <c r="D31" s="7">
        <v>0.06</v>
      </c>
      <c r="E31" s="7" t="s">
        <v>17</v>
      </c>
      <c r="F31" s="7" t="s">
        <v>208</v>
      </c>
    </row>
    <row r="32" spans="1:6" ht="19" x14ac:dyDescent="0.25">
      <c r="A32" s="17"/>
      <c r="B32" s="7" t="s">
        <v>105</v>
      </c>
      <c r="C32" s="7" t="s">
        <v>15</v>
      </c>
      <c r="D32" s="7">
        <v>0.48</v>
      </c>
      <c r="E32" s="7" t="s">
        <v>17</v>
      </c>
      <c r="F32" s="7" t="s">
        <v>209</v>
      </c>
    </row>
    <row r="33" spans="1:6" ht="19" x14ac:dyDescent="0.25">
      <c r="A33" s="17"/>
      <c r="B33" s="7" t="s">
        <v>106</v>
      </c>
      <c r="C33" s="7" t="s">
        <v>15</v>
      </c>
      <c r="D33" s="7">
        <v>0.48</v>
      </c>
      <c r="E33" s="7" t="s">
        <v>15</v>
      </c>
      <c r="F33" s="7" t="s">
        <v>210</v>
      </c>
    </row>
    <row r="34" spans="1:6" ht="19" x14ac:dyDescent="0.25">
      <c r="A34" s="17"/>
      <c r="B34" s="7" t="s">
        <v>109</v>
      </c>
      <c r="C34" s="7" t="s">
        <v>167</v>
      </c>
      <c r="D34" s="7">
        <v>0.14000000000000001</v>
      </c>
      <c r="E34" s="7" t="s">
        <v>17</v>
      </c>
      <c r="F34" s="7" t="s">
        <v>211</v>
      </c>
    </row>
    <row r="35" spans="1:6" ht="19" x14ac:dyDescent="0.25">
      <c r="A35" s="17"/>
      <c r="B35" s="7" t="s">
        <v>113</v>
      </c>
      <c r="C35" s="7" t="s">
        <v>15</v>
      </c>
      <c r="D35" s="7">
        <v>1.04</v>
      </c>
      <c r="E35" s="7" t="s">
        <v>15</v>
      </c>
      <c r="F35" s="7" t="s">
        <v>212</v>
      </c>
    </row>
    <row r="36" spans="1:6" ht="19" x14ac:dyDescent="0.25">
      <c r="A36" s="17"/>
      <c r="B36" s="7" t="s">
        <v>127</v>
      </c>
      <c r="C36" s="7" t="s">
        <v>15</v>
      </c>
      <c r="D36" s="7">
        <v>0.15</v>
      </c>
      <c r="E36" s="7" t="s">
        <v>17</v>
      </c>
      <c r="F36" s="7" t="s">
        <v>213</v>
      </c>
    </row>
    <row r="37" spans="1:6" ht="19" x14ac:dyDescent="0.25">
      <c r="A37" s="17"/>
      <c r="B37" s="7" t="s">
        <v>129</v>
      </c>
      <c r="C37" s="7" t="s">
        <v>15</v>
      </c>
      <c r="D37" s="7">
        <v>1.69</v>
      </c>
      <c r="E37" s="7" t="s">
        <v>17</v>
      </c>
      <c r="F37" s="7" t="s">
        <v>214</v>
      </c>
    </row>
    <row r="38" spans="1:6" ht="19" x14ac:dyDescent="0.25">
      <c r="A38" s="17"/>
      <c r="B38" s="7" t="s">
        <v>130</v>
      </c>
      <c r="C38" s="7" t="s">
        <v>15</v>
      </c>
      <c r="D38" s="7">
        <v>0.6</v>
      </c>
      <c r="E38" s="7" t="s">
        <v>17</v>
      </c>
      <c r="F38" s="7" t="s">
        <v>215</v>
      </c>
    </row>
    <row r="39" spans="1:6" ht="19" x14ac:dyDescent="0.25">
      <c r="A39" s="17"/>
      <c r="B39" s="7" t="s">
        <v>132</v>
      </c>
      <c r="C39" s="7" t="s">
        <v>15</v>
      </c>
      <c r="D39" s="7">
        <v>0.5</v>
      </c>
      <c r="E39" s="7" t="s">
        <v>15</v>
      </c>
      <c r="F39" s="7" t="s">
        <v>216</v>
      </c>
    </row>
    <row r="40" spans="1:6" ht="19" x14ac:dyDescent="0.25">
      <c r="A40" s="17"/>
      <c r="B40" s="7" t="s">
        <v>138</v>
      </c>
      <c r="C40" s="7" t="s">
        <v>15</v>
      </c>
      <c r="D40" s="7">
        <v>1.78</v>
      </c>
      <c r="E40" s="7" t="s">
        <v>15</v>
      </c>
      <c r="F40" s="7" t="s">
        <v>217</v>
      </c>
    </row>
    <row r="41" spans="1:6" ht="19" x14ac:dyDescent="0.25">
      <c r="A41" s="17"/>
      <c r="B41" s="7" t="s">
        <v>139</v>
      </c>
      <c r="C41" s="7" t="s">
        <v>15</v>
      </c>
      <c r="D41" s="7">
        <v>1.78</v>
      </c>
      <c r="E41" s="7" t="s">
        <v>17</v>
      </c>
      <c r="F41" s="7" t="s">
        <v>218</v>
      </c>
    </row>
    <row r="42" spans="1:6" ht="19" x14ac:dyDescent="0.25">
      <c r="A42" s="17" t="s">
        <v>21</v>
      </c>
      <c r="B42" s="7" t="s">
        <v>57</v>
      </c>
      <c r="C42" s="7" t="s">
        <v>152</v>
      </c>
      <c r="D42" s="7">
        <v>14.08</v>
      </c>
      <c r="E42" s="7" t="s">
        <v>15</v>
      </c>
      <c r="F42" s="7" t="s">
        <v>219</v>
      </c>
    </row>
    <row r="43" spans="1:6" ht="19" x14ac:dyDescent="0.25">
      <c r="A43" s="17"/>
      <c r="B43" s="7" t="s">
        <v>58</v>
      </c>
      <c r="C43" s="7" t="s">
        <v>153</v>
      </c>
      <c r="D43" s="7">
        <v>3.49</v>
      </c>
      <c r="E43" s="7" t="s">
        <v>19</v>
      </c>
      <c r="F43" s="7" t="s">
        <v>220</v>
      </c>
    </row>
    <row r="44" spans="1:6" ht="19" x14ac:dyDescent="0.25">
      <c r="A44" s="17"/>
      <c r="B44" s="7" t="s">
        <v>59</v>
      </c>
      <c r="C44" s="7" t="s">
        <v>154</v>
      </c>
      <c r="D44" s="7">
        <v>5.49</v>
      </c>
      <c r="E44" s="7" t="s">
        <v>17</v>
      </c>
      <c r="F44" s="7" t="s">
        <v>221</v>
      </c>
    </row>
    <row r="45" spans="1:6" ht="19" x14ac:dyDescent="0.25">
      <c r="A45" s="17" t="s">
        <v>148</v>
      </c>
      <c r="B45" s="7" t="s">
        <v>64</v>
      </c>
      <c r="C45" s="7" t="s">
        <v>155</v>
      </c>
      <c r="D45" s="7">
        <v>5.96</v>
      </c>
      <c r="E45" s="7" t="s">
        <v>17</v>
      </c>
      <c r="F45" s="7" t="s">
        <v>222</v>
      </c>
    </row>
    <row r="46" spans="1:6" ht="19" x14ac:dyDescent="0.25">
      <c r="A46" s="17"/>
      <c r="B46" s="7" t="s">
        <v>65</v>
      </c>
      <c r="C46" s="7" t="s">
        <v>156</v>
      </c>
      <c r="D46" s="7">
        <v>5.93</v>
      </c>
      <c r="E46" s="7" t="s">
        <v>17</v>
      </c>
      <c r="F46" s="7" t="s">
        <v>223</v>
      </c>
    </row>
    <row r="47" spans="1:6" ht="19" x14ac:dyDescent="0.25">
      <c r="A47" s="17"/>
      <c r="B47" s="7" t="s">
        <v>108</v>
      </c>
      <c r="C47" s="7" t="s">
        <v>15</v>
      </c>
      <c r="D47" s="7">
        <v>0.67</v>
      </c>
      <c r="E47" s="7" t="s">
        <v>15</v>
      </c>
      <c r="F47" s="7" t="s">
        <v>224</v>
      </c>
    </row>
    <row r="48" spans="1:6" ht="19" x14ac:dyDescent="0.25">
      <c r="A48" s="17"/>
      <c r="B48" s="7" t="s">
        <v>136</v>
      </c>
      <c r="C48" s="7" t="s">
        <v>176</v>
      </c>
      <c r="D48" s="7">
        <v>4.3</v>
      </c>
      <c r="E48" s="7" t="s">
        <v>287</v>
      </c>
      <c r="F48" s="7" t="s">
        <v>225</v>
      </c>
    </row>
    <row r="49" spans="1:6" ht="19" x14ac:dyDescent="0.25">
      <c r="A49" s="17"/>
      <c r="B49" s="7" t="s">
        <v>137</v>
      </c>
      <c r="C49" s="7" t="s">
        <v>177</v>
      </c>
      <c r="D49" s="7">
        <v>1.42</v>
      </c>
      <c r="E49" s="7" t="s">
        <v>15</v>
      </c>
      <c r="F49" s="7" t="s">
        <v>226</v>
      </c>
    </row>
    <row r="50" spans="1:6" ht="19" x14ac:dyDescent="0.25">
      <c r="A50" s="17"/>
      <c r="B50" s="7" t="s">
        <v>141</v>
      </c>
      <c r="C50" s="7" t="s">
        <v>15</v>
      </c>
      <c r="D50" s="7">
        <v>2.88</v>
      </c>
      <c r="E50" s="7" t="s">
        <v>17</v>
      </c>
      <c r="F50" s="7" t="s">
        <v>227</v>
      </c>
    </row>
    <row r="51" spans="1:6" ht="19" x14ac:dyDescent="0.25">
      <c r="A51" s="17"/>
      <c r="B51" s="7" t="s">
        <v>145</v>
      </c>
      <c r="C51" s="7" t="s">
        <v>178</v>
      </c>
      <c r="D51" s="7">
        <v>1.69</v>
      </c>
      <c r="E51" s="7" t="s">
        <v>15</v>
      </c>
      <c r="F51" s="7" t="s">
        <v>228</v>
      </c>
    </row>
    <row r="52" spans="1:6" ht="19" x14ac:dyDescent="0.25">
      <c r="A52" s="17" t="s">
        <v>147</v>
      </c>
      <c r="B52" s="7" t="s">
        <v>48</v>
      </c>
      <c r="C52" s="7" t="s">
        <v>150</v>
      </c>
      <c r="D52" s="7">
        <v>27.35</v>
      </c>
      <c r="E52" s="7" t="s">
        <v>17</v>
      </c>
      <c r="F52" s="7" t="s">
        <v>229</v>
      </c>
    </row>
    <row r="53" spans="1:6" ht="19" x14ac:dyDescent="0.25">
      <c r="A53" s="17"/>
      <c r="B53" s="7" t="s">
        <v>60</v>
      </c>
      <c r="C53" s="7" t="s">
        <v>15</v>
      </c>
      <c r="D53" s="7">
        <v>2.2200000000000002</v>
      </c>
      <c r="E53" s="7" t="s">
        <v>15</v>
      </c>
      <c r="F53" s="7" t="s">
        <v>231</v>
      </c>
    </row>
    <row r="54" spans="1:6" ht="19" x14ac:dyDescent="0.25">
      <c r="A54" s="17"/>
      <c r="B54" s="7" t="s">
        <v>61</v>
      </c>
      <c r="C54" s="7" t="s">
        <v>15</v>
      </c>
      <c r="D54" s="7">
        <v>1.75</v>
      </c>
      <c r="E54" s="7" t="s">
        <v>17</v>
      </c>
      <c r="F54" s="7" t="s">
        <v>232</v>
      </c>
    </row>
    <row r="55" spans="1:6" ht="19" x14ac:dyDescent="0.25">
      <c r="A55" s="17"/>
      <c r="B55" s="7" t="s">
        <v>73</v>
      </c>
      <c r="C55" s="7" t="s">
        <v>15</v>
      </c>
      <c r="D55" s="7">
        <v>17.239999999999998</v>
      </c>
      <c r="E55" s="7" t="s">
        <v>17</v>
      </c>
      <c r="F55" s="7" t="s">
        <v>233</v>
      </c>
    </row>
    <row r="56" spans="1:6" ht="19" x14ac:dyDescent="0.25">
      <c r="A56" s="17"/>
      <c r="B56" s="7" t="s">
        <v>74</v>
      </c>
      <c r="C56" s="7" t="s">
        <v>15</v>
      </c>
      <c r="D56" s="7">
        <v>1.72</v>
      </c>
      <c r="E56" s="7" t="s">
        <v>15</v>
      </c>
      <c r="F56" s="7" t="s">
        <v>234</v>
      </c>
    </row>
    <row r="57" spans="1:6" ht="19" x14ac:dyDescent="0.25">
      <c r="A57" s="17"/>
      <c r="B57" s="7" t="s">
        <v>75</v>
      </c>
      <c r="C57" s="7" t="s">
        <v>15</v>
      </c>
      <c r="D57" s="7">
        <v>1.37</v>
      </c>
      <c r="E57" s="7" t="s">
        <v>287</v>
      </c>
      <c r="F57" s="7" t="s">
        <v>235</v>
      </c>
    </row>
    <row r="58" spans="1:6" ht="19" x14ac:dyDescent="0.25">
      <c r="A58" s="17"/>
      <c r="B58" s="7" t="s">
        <v>83</v>
      </c>
      <c r="C58" s="7" t="s">
        <v>15</v>
      </c>
      <c r="D58" s="7">
        <v>1.1599999999999999</v>
      </c>
      <c r="E58" s="7" t="s">
        <v>17</v>
      </c>
      <c r="F58" s="7" t="s">
        <v>236</v>
      </c>
    </row>
    <row r="59" spans="1:6" ht="19" x14ac:dyDescent="0.25">
      <c r="A59" s="17"/>
      <c r="B59" s="7"/>
      <c r="C59" s="7"/>
      <c r="D59" s="7"/>
      <c r="E59" s="7"/>
      <c r="F59" s="7" t="s">
        <v>237</v>
      </c>
    </row>
    <row r="60" spans="1:6" ht="19" x14ac:dyDescent="0.25">
      <c r="A60" s="17"/>
      <c r="B60" s="7" t="s">
        <v>84</v>
      </c>
      <c r="C60" s="7" t="s">
        <v>162</v>
      </c>
      <c r="D60" s="7">
        <v>2.62</v>
      </c>
      <c r="E60" s="7" t="s">
        <v>15</v>
      </c>
      <c r="F60" s="7" t="s">
        <v>238</v>
      </c>
    </row>
    <row r="61" spans="1:6" ht="19" x14ac:dyDescent="0.25">
      <c r="A61" s="17"/>
      <c r="B61" s="7" t="s">
        <v>86</v>
      </c>
      <c r="C61" s="7" t="s">
        <v>15</v>
      </c>
      <c r="D61" s="7">
        <v>2.12</v>
      </c>
      <c r="E61" s="7" t="s">
        <v>17</v>
      </c>
      <c r="F61" s="7" t="s">
        <v>239</v>
      </c>
    </row>
    <row r="62" spans="1:6" ht="19" x14ac:dyDescent="0.25">
      <c r="A62" s="17"/>
      <c r="B62" s="7" t="s">
        <v>89</v>
      </c>
      <c r="C62" s="7" t="s">
        <v>15</v>
      </c>
      <c r="D62" s="7">
        <v>2.65</v>
      </c>
      <c r="E62" s="7" t="s">
        <v>17</v>
      </c>
      <c r="F62" s="7" t="s">
        <v>240</v>
      </c>
    </row>
    <row r="63" spans="1:6" ht="19" x14ac:dyDescent="0.25">
      <c r="A63" s="17"/>
      <c r="B63" s="7" t="s">
        <v>100</v>
      </c>
      <c r="C63" s="7" t="s">
        <v>15</v>
      </c>
      <c r="D63" s="7">
        <v>4.2699999999999996</v>
      </c>
      <c r="E63" s="7" t="s">
        <v>287</v>
      </c>
      <c r="F63" s="7" t="s">
        <v>241</v>
      </c>
    </row>
    <row r="64" spans="1:6" ht="19" x14ac:dyDescent="0.25">
      <c r="A64" s="17"/>
      <c r="B64" s="7" t="s">
        <v>101</v>
      </c>
      <c r="C64" s="7" t="s">
        <v>15</v>
      </c>
      <c r="D64" s="7">
        <v>1.43</v>
      </c>
      <c r="E64" s="7" t="s">
        <v>17</v>
      </c>
      <c r="F64" s="7" t="s">
        <v>242</v>
      </c>
    </row>
    <row r="65" spans="1:6" ht="19" x14ac:dyDescent="0.25">
      <c r="A65" s="17"/>
      <c r="B65" s="7" t="s">
        <v>107</v>
      </c>
      <c r="C65" s="7" t="s">
        <v>166</v>
      </c>
      <c r="D65" s="7">
        <v>3.75</v>
      </c>
      <c r="E65" s="7" t="s">
        <v>17</v>
      </c>
      <c r="F65" s="7" t="s">
        <v>243</v>
      </c>
    </row>
    <row r="66" spans="1:6" ht="19" x14ac:dyDescent="0.25">
      <c r="A66" s="17"/>
      <c r="B66" s="7" t="s">
        <v>116</v>
      </c>
      <c r="C66" s="7" t="s">
        <v>169</v>
      </c>
      <c r="D66" s="7">
        <v>4.8</v>
      </c>
      <c r="E66" s="7" t="s">
        <v>15</v>
      </c>
      <c r="F66" s="7" t="s">
        <v>244</v>
      </c>
    </row>
    <row r="67" spans="1:6" ht="19" x14ac:dyDescent="0.25">
      <c r="A67" s="17"/>
      <c r="B67" s="7" t="s">
        <v>117</v>
      </c>
      <c r="C67" s="7" t="s">
        <v>170</v>
      </c>
      <c r="D67" s="7">
        <v>1.5</v>
      </c>
      <c r="E67" s="7" t="s">
        <v>17</v>
      </c>
      <c r="F67" s="7" t="s">
        <v>245</v>
      </c>
    </row>
    <row r="68" spans="1:6" ht="19" x14ac:dyDescent="0.25">
      <c r="A68" s="17"/>
      <c r="B68" s="7" t="s">
        <v>123</v>
      </c>
      <c r="C68" s="7" t="s">
        <v>171</v>
      </c>
      <c r="D68" s="7">
        <v>1.83</v>
      </c>
      <c r="E68" s="7" t="s">
        <v>17</v>
      </c>
      <c r="F68" s="7" t="s">
        <v>246</v>
      </c>
    </row>
    <row r="69" spans="1:6" ht="19" x14ac:dyDescent="0.25">
      <c r="A69" s="17"/>
      <c r="B69" s="7" t="s">
        <v>124</v>
      </c>
      <c r="C69" s="7" t="s">
        <v>172</v>
      </c>
      <c r="D69" s="7">
        <v>1.83</v>
      </c>
      <c r="E69" s="7" t="s">
        <v>17</v>
      </c>
      <c r="F69" s="7" t="s">
        <v>247</v>
      </c>
    </row>
    <row r="70" spans="1:6" ht="19" x14ac:dyDescent="0.25">
      <c r="A70" s="17"/>
      <c r="B70" s="7" t="s">
        <v>125</v>
      </c>
      <c r="C70" s="7" t="s">
        <v>173</v>
      </c>
      <c r="D70" s="7">
        <v>13.59</v>
      </c>
      <c r="E70" s="7" t="s">
        <v>19</v>
      </c>
      <c r="F70" s="7" t="s">
        <v>248</v>
      </c>
    </row>
    <row r="71" spans="1:6" ht="19" x14ac:dyDescent="0.25">
      <c r="A71" s="17"/>
      <c r="B71" s="7" t="s">
        <v>126</v>
      </c>
      <c r="C71" s="7" t="s">
        <v>174</v>
      </c>
      <c r="D71" s="7">
        <v>13.93</v>
      </c>
      <c r="E71" s="7" t="s">
        <v>15</v>
      </c>
      <c r="F71" s="7" t="s">
        <v>249</v>
      </c>
    </row>
    <row r="72" spans="1:6" ht="19" x14ac:dyDescent="0.25">
      <c r="A72" s="17"/>
      <c r="B72" s="7" t="s">
        <v>131</v>
      </c>
      <c r="C72" s="7" t="s">
        <v>15</v>
      </c>
      <c r="D72" s="7">
        <v>1.45</v>
      </c>
      <c r="E72" s="7" t="s">
        <v>17</v>
      </c>
      <c r="F72" s="7" t="s">
        <v>250</v>
      </c>
    </row>
    <row r="73" spans="1:6" ht="19" x14ac:dyDescent="0.25">
      <c r="A73" s="17"/>
      <c r="B73" s="7" t="s">
        <v>140</v>
      </c>
      <c r="C73" s="7" t="s">
        <v>15</v>
      </c>
      <c r="D73" s="7">
        <v>3.91</v>
      </c>
      <c r="E73" s="7" t="s">
        <v>15</v>
      </c>
      <c r="F73" s="7" t="s">
        <v>251</v>
      </c>
    </row>
    <row r="74" spans="1:6" ht="19" x14ac:dyDescent="0.25">
      <c r="A74" s="17"/>
      <c r="B74" s="7" t="s">
        <v>144</v>
      </c>
      <c r="C74" s="7" t="s">
        <v>15</v>
      </c>
      <c r="D74" s="7">
        <v>2.29</v>
      </c>
      <c r="E74" s="7" t="s">
        <v>15</v>
      </c>
      <c r="F74" s="7" t="s">
        <v>252</v>
      </c>
    </row>
    <row r="75" spans="1:6" ht="19" x14ac:dyDescent="0.25">
      <c r="A75" s="17"/>
      <c r="B75" s="7" t="s">
        <v>608</v>
      </c>
      <c r="C75" s="7" t="s">
        <v>151</v>
      </c>
      <c r="D75" s="7">
        <v>12.17</v>
      </c>
      <c r="E75" s="7" t="s">
        <v>19</v>
      </c>
      <c r="F75" s="7" t="s">
        <v>230</v>
      </c>
    </row>
    <row r="76" spans="1:6" ht="19" x14ac:dyDescent="0.25">
      <c r="A76" s="17"/>
      <c r="B76" s="7" t="s">
        <v>699</v>
      </c>
      <c r="C76" s="7" t="s">
        <v>700</v>
      </c>
      <c r="D76" s="7" t="s">
        <v>15</v>
      </c>
      <c r="E76" s="7" t="s">
        <v>287</v>
      </c>
      <c r="F76" s="7" t="s">
        <v>701</v>
      </c>
    </row>
    <row r="77" spans="1:6" ht="19" x14ac:dyDescent="0.25">
      <c r="A77" s="17"/>
      <c r="B77" s="7" t="s">
        <v>702</v>
      </c>
      <c r="C77" s="7" t="s">
        <v>15</v>
      </c>
      <c r="D77" s="7" t="s">
        <v>15</v>
      </c>
      <c r="E77" s="7" t="s">
        <v>287</v>
      </c>
      <c r="F77" s="7" t="s">
        <v>703</v>
      </c>
    </row>
    <row r="78" spans="1:6" ht="19" x14ac:dyDescent="0.25">
      <c r="A78" s="17"/>
      <c r="B78" s="7" t="s">
        <v>704</v>
      </c>
      <c r="C78" s="7" t="s">
        <v>705</v>
      </c>
      <c r="D78" s="7" t="s">
        <v>15</v>
      </c>
      <c r="E78" s="7" t="s">
        <v>287</v>
      </c>
      <c r="F78" s="7" t="s">
        <v>706</v>
      </c>
    </row>
    <row r="79" spans="1:6" ht="19" x14ac:dyDescent="0.25">
      <c r="A79" s="17" t="s">
        <v>18</v>
      </c>
      <c r="B79" s="7" t="s">
        <v>46</v>
      </c>
      <c r="C79" s="7" t="s">
        <v>15</v>
      </c>
      <c r="D79" s="7">
        <v>15.09</v>
      </c>
      <c r="E79" s="7" t="s">
        <v>17</v>
      </c>
      <c r="F79" s="7" t="s">
        <v>253</v>
      </c>
    </row>
    <row r="80" spans="1:6" ht="19" x14ac:dyDescent="0.25">
      <c r="A80" s="17"/>
      <c r="B80" s="7" t="s">
        <v>50</v>
      </c>
      <c r="C80" s="7" t="s">
        <v>15</v>
      </c>
      <c r="D80" s="7">
        <v>25.25</v>
      </c>
      <c r="E80" s="7" t="s">
        <v>17</v>
      </c>
      <c r="F80" s="7" t="s">
        <v>254</v>
      </c>
    </row>
    <row r="81" spans="1:6" ht="19" x14ac:dyDescent="0.25">
      <c r="A81" s="17"/>
      <c r="B81" s="7" t="s">
        <v>51</v>
      </c>
      <c r="C81" s="7" t="s">
        <v>15</v>
      </c>
      <c r="D81" s="7">
        <v>4</v>
      </c>
      <c r="E81" s="7" t="s">
        <v>17</v>
      </c>
      <c r="F81" s="7" t="s">
        <v>255</v>
      </c>
    </row>
    <row r="82" spans="1:6" ht="19" x14ac:dyDescent="0.25">
      <c r="A82" s="17"/>
      <c r="B82" s="7" t="s">
        <v>52</v>
      </c>
      <c r="C82" s="7" t="s">
        <v>15</v>
      </c>
      <c r="D82" s="7">
        <v>0.76</v>
      </c>
      <c r="E82" s="7" t="s">
        <v>17</v>
      </c>
      <c r="F82" s="7" t="s">
        <v>256</v>
      </c>
    </row>
    <row r="83" spans="1:6" ht="19" x14ac:dyDescent="0.25">
      <c r="A83" s="17"/>
      <c r="B83" s="7" t="s">
        <v>53</v>
      </c>
      <c r="C83" s="7" t="s">
        <v>15</v>
      </c>
      <c r="D83" s="7">
        <v>2.89</v>
      </c>
      <c r="E83" s="7" t="s">
        <v>15</v>
      </c>
      <c r="F83" s="7" t="s">
        <v>257</v>
      </c>
    </row>
    <row r="84" spans="1:6" ht="19" x14ac:dyDescent="0.25">
      <c r="A84" s="17"/>
      <c r="B84" s="7" t="s">
        <v>54</v>
      </c>
      <c r="C84" s="7" t="s">
        <v>15</v>
      </c>
      <c r="D84" s="7">
        <v>1.42</v>
      </c>
      <c r="E84" s="7" t="s">
        <v>15</v>
      </c>
      <c r="F84" s="7" t="s">
        <v>258</v>
      </c>
    </row>
    <row r="85" spans="1:6" ht="19" x14ac:dyDescent="0.25">
      <c r="A85" s="17"/>
      <c r="B85" s="7" t="s">
        <v>55</v>
      </c>
      <c r="C85" s="7" t="s">
        <v>15</v>
      </c>
      <c r="D85" s="7">
        <v>2.21</v>
      </c>
      <c r="E85" s="7" t="s">
        <v>15</v>
      </c>
      <c r="F85" s="7" t="s">
        <v>259</v>
      </c>
    </row>
    <row r="86" spans="1:6" ht="19" x14ac:dyDescent="0.25">
      <c r="A86" s="17"/>
      <c r="B86" s="7" t="s">
        <v>66</v>
      </c>
      <c r="C86" s="7" t="s">
        <v>157</v>
      </c>
      <c r="D86" s="7">
        <v>1.4</v>
      </c>
      <c r="E86" s="7" t="s">
        <v>15</v>
      </c>
      <c r="F86" s="7" t="s">
        <v>260</v>
      </c>
    </row>
    <row r="87" spans="1:6" ht="19" x14ac:dyDescent="0.25">
      <c r="A87" s="17"/>
      <c r="B87" s="7" t="s">
        <v>72</v>
      </c>
      <c r="C87" s="7" t="s">
        <v>15</v>
      </c>
      <c r="D87" s="7">
        <v>0.63</v>
      </c>
      <c r="E87" s="7" t="s">
        <v>17</v>
      </c>
      <c r="F87" s="7" t="s">
        <v>261</v>
      </c>
    </row>
    <row r="88" spans="1:6" ht="19" x14ac:dyDescent="0.25">
      <c r="A88" s="17"/>
      <c r="B88" s="7" t="s">
        <v>76</v>
      </c>
      <c r="C88" s="7" t="s">
        <v>159</v>
      </c>
      <c r="D88" s="7">
        <v>12.9</v>
      </c>
      <c r="E88" s="7" t="s">
        <v>17</v>
      </c>
      <c r="F88" s="7" t="s">
        <v>262</v>
      </c>
    </row>
    <row r="89" spans="1:6" ht="19" x14ac:dyDescent="0.25">
      <c r="A89" s="17"/>
      <c r="B89" s="7" t="s">
        <v>77</v>
      </c>
      <c r="C89" s="7" t="s">
        <v>160</v>
      </c>
      <c r="D89" s="7">
        <v>1.38</v>
      </c>
      <c r="E89" s="7" t="s">
        <v>17</v>
      </c>
      <c r="F89" s="7" t="s">
        <v>263</v>
      </c>
    </row>
    <row r="90" spans="1:6" ht="19" x14ac:dyDescent="0.25">
      <c r="A90" s="17"/>
      <c r="B90" s="7" t="s">
        <v>78</v>
      </c>
      <c r="C90" s="7" t="s">
        <v>15</v>
      </c>
      <c r="D90" s="7">
        <v>3.77</v>
      </c>
      <c r="E90" s="7" t="s">
        <v>287</v>
      </c>
      <c r="F90" s="7" t="s">
        <v>264</v>
      </c>
    </row>
    <row r="91" spans="1:6" ht="19" x14ac:dyDescent="0.25">
      <c r="A91" s="17"/>
      <c r="B91" s="7" t="s">
        <v>79</v>
      </c>
      <c r="C91" s="7" t="s">
        <v>15</v>
      </c>
      <c r="D91" s="7">
        <v>1.27</v>
      </c>
      <c r="E91" s="7" t="s">
        <v>287</v>
      </c>
      <c r="F91" s="7" t="s">
        <v>265</v>
      </c>
    </row>
    <row r="92" spans="1:6" ht="19" x14ac:dyDescent="0.25">
      <c r="A92" s="17"/>
      <c r="B92" s="7" t="s">
        <v>80</v>
      </c>
      <c r="C92" s="7" t="s">
        <v>161</v>
      </c>
      <c r="D92" s="7">
        <v>5.19</v>
      </c>
      <c r="E92" s="7" t="s">
        <v>287</v>
      </c>
      <c r="F92" s="7" t="s">
        <v>266</v>
      </c>
    </row>
    <row r="93" spans="1:6" ht="19" x14ac:dyDescent="0.25">
      <c r="A93" s="17"/>
      <c r="B93" s="7" t="s">
        <v>81</v>
      </c>
      <c r="C93" s="7" t="s">
        <v>15</v>
      </c>
      <c r="D93" s="7">
        <v>1.82</v>
      </c>
      <c r="E93" s="7" t="s">
        <v>15</v>
      </c>
      <c r="F93" s="7" t="s">
        <v>267</v>
      </c>
    </row>
    <row r="94" spans="1:6" ht="19" x14ac:dyDescent="0.25">
      <c r="A94" s="17"/>
      <c r="B94" s="7" t="s">
        <v>142</v>
      </c>
      <c r="C94" s="7" t="s">
        <v>15</v>
      </c>
      <c r="D94" s="7">
        <v>0.26</v>
      </c>
      <c r="E94" s="7" t="s">
        <v>15</v>
      </c>
      <c r="F94" s="7" t="s">
        <v>268</v>
      </c>
    </row>
    <row r="95" spans="1:6" ht="19" x14ac:dyDescent="0.25">
      <c r="A95" s="17"/>
      <c r="B95" s="7" t="s">
        <v>609</v>
      </c>
      <c r="C95" s="7" t="s">
        <v>15</v>
      </c>
      <c r="D95" s="7" t="s">
        <v>15</v>
      </c>
      <c r="E95" s="7" t="s">
        <v>17</v>
      </c>
      <c r="F95" s="7" t="s">
        <v>610</v>
      </c>
    </row>
    <row r="96" spans="1:6" ht="19" x14ac:dyDescent="0.25">
      <c r="A96" s="17" t="s">
        <v>20</v>
      </c>
      <c r="B96" s="7" t="s">
        <v>70</v>
      </c>
      <c r="C96" s="7" t="s">
        <v>15</v>
      </c>
      <c r="D96" s="7">
        <v>6</v>
      </c>
      <c r="E96" s="7" t="s">
        <v>15</v>
      </c>
      <c r="F96" s="7" t="s">
        <v>269</v>
      </c>
    </row>
    <row r="97" spans="1:6" ht="19" x14ac:dyDescent="0.25">
      <c r="A97" s="17"/>
      <c r="B97" s="7" t="s">
        <v>71</v>
      </c>
      <c r="C97" s="7" t="s">
        <v>15</v>
      </c>
      <c r="D97" s="7">
        <v>3.92</v>
      </c>
      <c r="E97" s="7" t="s">
        <v>15</v>
      </c>
      <c r="F97" s="7" t="s">
        <v>270</v>
      </c>
    </row>
    <row r="98" spans="1:6" ht="19" x14ac:dyDescent="0.25">
      <c r="A98" s="17"/>
      <c r="B98" s="7" t="s">
        <v>87</v>
      </c>
      <c r="C98" s="7" t="s">
        <v>15</v>
      </c>
      <c r="D98" s="7">
        <v>1.51</v>
      </c>
      <c r="E98" s="7" t="s">
        <v>15</v>
      </c>
      <c r="F98" s="7" t="s">
        <v>271</v>
      </c>
    </row>
    <row r="99" spans="1:6" ht="19" x14ac:dyDescent="0.25">
      <c r="A99" s="17"/>
      <c r="B99" s="7" t="s">
        <v>90</v>
      </c>
      <c r="C99" s="7" t="s">
        <v>15</v>
      </c>
      <c r="D99" s="7">
        <v>6.57</v>
      </c>
      <c r="E99" s="7" t="s">
        <v>15</v>
      </c>
      <c r="F99" s="7" t="s">
        <v>272</v>
      </c>
    </row>
    <row r="100" spans="1:6" ht="19" x14ac:dyDescent="0.25">
      <c r="A100" s="17"/>
      <c r="B100" s="7" t="s">
        <v>104</v>
      </c>
      <c r="C100" s="7" t="s">
        <v>165</v>
      </c>
      <c r="D100" s="7">
        <v>0.78</v>
      </c>
      <c r="E100" s="7" t="s">
        <v>19</v>
      </c>
      <c r="F100" s="7" t="s">
        <v>273</v>
      </c>
    </row>
    <row r="101" spans="1:6" ht="19" x14ac:dyDescent="0.25">
      <c r="A101" s="17"/>
      <c r="B101" s="7" t="s">
        <v>110</v>
      </c>
      <c r="C101" s="7" t="s">
        <v>15</v>
      </c>
      <c r="D101" s="7">
        <v>0.82</v>
      </c>
      <c r="E101" s="7" t="s">
        <v>15</v>
      </c>
      <c r="F101" s="7" t="s">
        <v>274</v>
      </c>
    </row>
    <row r="102" spans="1:6" ht="19" x14ac:dyDescent="0.25">
      <c r="A102" s="17"/>
      <c r="B102" s="7" t="s">
        <v>111</v>
      </c>
      <c r="C102" s="7" t="s">
        <v>15</v>
      </c>
      <c r="D102" s="7">
        <v>0.47</v>
      </c>
      <c r="E102" s="7" t="s">
        <v>17</v>
      </c>
      <c r="F102" s="7" t="s">
        <v>275</v>
      </c>
    </row>
    <row r="103" spans="1:6" ht="19" x14ac:dyDescent="0.25">
      <c r="A103" s="17"/>
      <c r="B103" s="7" t="s">
        <v>115</v>
      </c>
      <c r="C103" s="7" t="s">
        <v>168</v>
      </c>
      <c r="D103" s="7">
        <v>3.7</v>
      </c>
      <c r="E103" s="7" t="s">
        <v>287</v>
      </c>
      <c r="F103" s="7" t="s">
        <v>276</v>
      </c>
    </row>
    <row r="104" spans="1:6" ht="19" x14ac:dyDescent="0.25">
      <c r="A104" s="17"/>
      <c r="B104" s="7" t="s">
        <v>118</v>
      </c>
      <c r="C104" s="7" t="s">
        <v>15</v>
      </c>
      <c r="D104" s="7">
        <v>7.25</v>
      </c>
      <c r="E104" s="7" t="s">
        <v>17</v>
      </c>
      <c r="F104" s="7" t="s">
        <v>277</v>
      </c>
    </row>
    <row r="105" spans="1:6" ht="19" x14ac:dyDescent="0.25">
      <c r="A105" s="17"/>
      <c r="B105" s="7" t="s">
        <v>135</v>
      </c>
      <c r="C105" s="7" t="s">
        <v>175</v>
      </c>
      <c r="D105" s="7">
        <v>1.1299999999999999</v>
      </c>
      <c r="E105" s="7" t="s">
        <v>15</v>
      </c>
      <c r="F105" s="7" t="s">
        <v>278</v>
      </c>
    </row>
    <row r="106" spans="1:6" ht="19" x14ac:dyDescent="0.25">
      <c r="A106" s="17" t="s">
        <v>15</v>
      </c>
      <c r="B106" s="7" t="s">
        <v>49</v>
      </c>
      <c r="C106" s="7" t="s">
        <v>15</v>
      </c>
      <c r="D106" s="7" t="s">
        <v>15</v>
      </c>
      <c r="E106" s="7" t="s">
        <v>15</v>
      </c>
      <c r="F106" s="7" t="s">
        <v>279</v>
      </c>
    </row>
    <row r="107" spans="1:6" ht="19" x14ac:dyDescent="0.25">
      <c r="A107" s="17"/>
      <c r="B107" s="7" t="s">
        <v>88</v>
      </c>
      <c r="C107" s="7" t="s">
        <v>163</v>
      </c>
      <c r="D107" s="7">
        <v>0.86</v>
      </c>
      <c r="E107" s="7" t="s">
        <v>17</v>
      </c>
      <c r="F107" s="7" t="s">
        <v>280</v>
      </c>
    </row>
    <row r="108" spans="1:6" ht="19" x14ac:dyDescent="0.25">
      <c r="A108" s="17"/>
      <c r="B108" s="7" t="s">
        <v>119</v>
      </c>
      <c r="C108" s="7" t="s">
        <v>15</v>
      </c>
      <c r="D108" s="7">
        <v>0.45</v>
      </c>
      <c r="E108" s="7" t="s">
        <v>15</v>
      </c>
      <c r="F108" s="7" t="s">
        <v>281</v>
      </c>
    </row>
    <row r="109" spans="1:6" ht="19" x14ac:dyDescent="0.25">
      <c r="A109" s="17"/>
      <c r="B109" s="7" t="s">
        <v>120</v>
      </c>
      <c r="C109" s="7" t="s">
        <v>15</v>
      </c>
      <c r="D109" s="7">
        <v>0.17</v>
      </c>
      <c r="E109" s="7" t="s">
        <v>17</v>
      </c>
      <c r="F109" s="7" t="s">
        <v>282</v>
      </c>
    </row>
    <row r="110" spans="1:6" ht="19" x14ac:dyDescent="0.25">
      <c r="A110" s="17"/>
      <c r="B110" s="7" t="s">
        <v>121</v>
      </c>
      <c r="C110" s="7" t="s">
        <v>15</v>
      </c>
      <c r="D110" s="7">
        <v>0.16</v>
      </c>
      <c r="E110" s="7" t="s">
        <v>19</v>
      </c>
      <c r="F110" s="7" t="s">
        <v>283</v>
      </c>
    </row>
    <row r="111" spans="1:6" ht="19" x14ac:dyDescent="0.25">
      <c r="A111" s="17"/>
      <c r="B111" s="7" t="s">
        <v>122</v>
      </c>
      <c r="C111" s="7" t="s">
        <v>15</v>
      </c>
      <c r="D111" s="7">
        <v>0.25</v>
      </c>
      <c r="E111" s="7" t="s">
        <v>15</v>
      </c>
      <c r="F111" s="7" t="s">
        <v>284</v>
      </c>
    </row>
    <row r="112" spans="1:6" ht="19" x14ac:dyDescent="0.25">
      <c r="A112" s="17"/>
      <c r="B112" s="7" t="s">
        <v>128</v>
      </c>
      <c r="C112" s="7" t="s">
        <v>15</v>
      </c>
      <c r="D112" s="7">
        <v>1.1599999999999999</v>
      </c>
      <c r="E112" s="7" t="s">
        <v>17</v>
      </c>
      <c r="F112" s="7" t="s">
        <v>285</v>
      </c>
    </row>
    <row r="113" spans="1:6" ht="19" x14ac:dyDescent="0.25">
      <c r="A113" s="17"/>
      <c r="B113" s="7" t="s">
        <v>611</v>
      </c>
      <c r="C113" s="7" t="s">
        <v>15</v>
      </c>
      <c r="D113" s="7" t="s">
        <v>15</v>
      </c>
      <c r="E113" s="7" t="s">
        <v>15</v>
      </c>
      <c r="F113" s="7" t="s">
        <v>612</v>
      </c>
    </row>
    <row r="114" spans="1:6" x14ac:dyDescent="0.2">
      <c r="A114"/>
      <c r="B114"/>
      <c r="C114"/>
      <c r="D114"/>
      <c r="E114"/>
    </row>
    <row r="115" spans="1:6" x14ac:dyDescent="0.2">
      <c r="A115"/>
      <c r="B115"/>
      <c r="C115"/>
      <c r="D115"/>
      <c r="E115"/>
    </row>
    <row r="116" spans="1:6" x14ac:dyDescent="0.2">
      <c r="A116"/>
      <c r="B116"/>
      <c r="C116"/>
      <c r="D116"/>
      <c r="E116"/>
    </row>
    <row r="117" spans="1:6" x14ac:dyDescent="0.2">
      <c r="A117"/>
      <c r="B117"/>
      <c r="C117"/>
      <c r="D117"/>
      <c r="E117"/>
    </row>
    <row r="118" spans="1:6" x14ac:dyDescent="0.2">
      <c r="A118"/>
      <c r="B118"/>
      <c r="C118"/>
      <c r="D118"/>
      <c r="E118"/>
    </row>
    <row r="119" spans="1:6" x14ac:dyDescent="0.2">
      <c r="A119"/>
      <c r="B119"/>
      <c r="C119"/>
      <c r="D119"/>
      <c r="E119"/>
    </row>
    <row r="120" spans="1:6" x14ac:dyDescent="0.2">
      <c r="A120"/>
      <c r="B120"/>
      <c r="C120"/>
      <c r="D120"/>
      <c r="E120"/>
    </row>
    <row r="121" spans="1:6" x14ac:dyDescent="0.2">
      <c r="A121"/>
      <c r="B121"/>
      <c r="C121"/>
      <c r="D121"/>
      <c r="E121"/>
    </row>
    <row r="122" spans="1:6" x14ac:dyDescent="0.2">
      <c r="A122"/>
      <c r="B122"/>
      <c r="C122"/>
      <c r="D122"/>
      <c r="E122"/>
    </row>
    <row r="123" spans="1:6" x14ac:dyDescent="0.2">
      <c r="A123"/>
      <c r="B123"/>
      <c r="C123"/>
      <c r="D123"/>
      <c r="E123"/>
    </row>
    <row r="124" spans="1:6" x14ac:dyDescent="0.2">
      <c r="A124"/>
      <c r="B124"/>
      <c r="C124"/>
      <c r="D124"/>
      <c r="E124"/>
    </row>
    <row r="125" spans="1:6" x14ac:dyDescent="0.2">
      <c r="A125"/>
      <c r="B125"/>
      <c r="C125"/>
      <c r="D125"/>
      <c r="E125"/>
    </row>
    <row r="126" spans="1:6" x14ac:dyDescent="0.2">
      <c r="A126"/>
      <c r="B126"/>
      <c r="C126"/>
      <c r="D126"/>
      <c r="E126"/>
    </row>
    <row r="127" spans="1:6" x14ac:dyDescent="0.2">
      <c r="A127"/>
      <c r="B127"/>
      <c r="C127"/>
      <c r="D127"/>
      <c r="E127"/>
    </row>
    <row r="128" spans="1:6" x14ac:dyDescent="0.2">
      <c r="A128"/>
      <c r="B128"/>
      <c r="C128"/>
      <c r="D128"/>
      <c r="E128"/>
    </row>
    <row r="129" spans="1:5" x14ac:dyDescent="0.2">
      <c r="A129"/>
      <c r="B129"/>
      <c r="C129"/>
      <c r="D129"/>
      <c r="E129"/>
    </row>
    <row r="130" spans="1:5" x14ac:dyDescent="0.2">
      <c r="A130"/>
      <c r="B130"/>
      <c r="C130"/>
      <c r="D130"/>
      <c r="E130"/>
    </row>
    <row r="131" spans="1:5" x14ac:dyDescent="0.2">
      <c r="A131"/>
      <c r="B131"/>
      <c r="C131"/>
      <c r="D131"/>
      <c r="E131"/>
    </row>
    <row r="132" spans="1:5" x14ac:dyDescent="0.2">
      <c r="A132"/>
      <c r="B132"/>
      <c r="C132"/>
      <c r="D132"/>
      <c r="E132"/>
    </row>
    <row r="133" spans="1:5" x14ac:dyDescent="0.2">
      <c r="A133"/>
      <c r="B133"/>
      <c r="C133"/>
      <c r="D133"/>
      <c r="E133"/>
    </row>
    <row r="134" spans="1:5" x14ac:dyDescent="0.2">
      <c r="A134"/>
      <c r="B134"/>
      <c r="C134"/>
      <c r="D134"/>
      <c r="E134"/>
    </row>
    <row r="135" spans="1:5" x14ac:dyDescent="0.2">
      <c r="A135"/>
      <c r="B135"/>
      <c r="C135"/>
      <c r="D135"/>
      <c r="E135"/>
    </row>
    <row r="136" spans="1:5" x14ac:dyDescent="0.2">
      <c r="A136"/>
      <c r="B136"/>
      <c r="C136"/>
      <c r="D136"/>
      <c r="E136"/>
    </row>
    <row r="137" spans="1:5" x14ac:dyDescent="0.2">
      <c r="A137"/>
      <c r="B137"/>
      <c r="C137"/>
      <c r="D137"/>
      <c r="E137"/>
    </row>
    <row r="138" spans="1:5" x14ac:dyDescent="0.2">
      <c r="A138"/>
      <c r="B138"/>
      <c r="C138"/>
      <c r="D138"/>
      <c r="E138"/>
    </row>
    <row r="139" spans="1:5" x14ac:dyDescent="0.2">
      <c r="A139"/>
      <c r="B139"/>
      <c r="C139"/>
      <c r="D139"/>
      <c r="E139"/>
    </row>
    <row r="140" spans="1:5" x14ac:dyDescent="0.2">
      <c r="A140"/>
      <c r="B140"/>
      <c r="C140"/>
      <c r="D140"/>
      <c r="E140"/>
    </row>
    <row r="141" spans="1:5" x14ac:dyDescent="0.2">
      <c r="A141"/>
      <c r="B141"/>
      <c r="C141"/>
      <c r="D141"/>
      <c r="E141"/>
    </row>
    <row r="142" spans="1:5" x14ac:dyDescent="0.2">
      <c r="A142"/>
      <c r="B142"/>
      <c r="C142"/>
      <c r="D142"/>
      <c r="E142"/>
    </row>
    <row r="143" spans="1:5" x14ac:dyDescent="0.2">
      <c r="A143"/>
      <c r="B143"/>
      <c r="C143"/>
      <c r="D143"/>
      <c r="E143"/>
    </row>
    <row r="144" spans="1:5" x14ac:dyDescent="0.2">
      <c r="A144"/>
      <c r="B144"/>
      <c r="C144"/>
      <c r="D144"/>
      <c r="E144"/>
    </row>
    <row r="145" spans="1:5" x14ac:dyDescent="0.2">
      <c r="A145"/>
      <c r="B145"/>
      <c r="C145"/>
      <c r="D145"/>
      <c r="E145"/>
    </row>
    <row r="146" spans="1:5" x14ac:dyDescent="0.2">
      <c r="A146"/>
      <c r="B146"/>
      <c r="C146"/>
      <c r="D146"/>
      <c r="E146"/>
    </row>
    <row r="147" spans="1:5" x14ac:dyDescent="0.2">
      <c r="A147"/>
      <c r="B147"/>
      <c r="C147"/>
      <c r="D147"/>
      <c r="E147"/>
    </row>
    <row r="148" spans="1:5" x14ac:dyDescent="0.2">
      <c r="A148"/>
      <c r="B148"/>
      <c r="C148"/>
      <c r="D148"/>
      <c r="E148"/>
    </row>
    <row r="149" spans="1:5" x14ac:dyDescent="0.2">
      <c r="A149"/>
      <c r="B149"/>
      <c r="C149"/>
      <c r="D149"/>
      <c r="E149"/>
    </row>
    <row r="150" spans="1:5" x14ac:dyDescent="0.2">
      <c r="A150"/>
      <c r="B150"/>
      <c r="C150"/>
      <c r="D150"/>
      <c r="E150"/>
    </row>
    <row r="151" spans="1:5" x14ac:dyDescent="0.2">
      <c r="A151"/>
      <c r="B151"/>
      <c r="C151"/>
      <c r="D151"/>
      <c r="E151"/>
    </row>
    <row r="152" spans="1:5" x14ac:dyDescent="0.2">
      <c r="A152"/>
      <c r="B152"/>
      <c r="C152"/>
      <c r="D152"/>
      <c r="E152"/>
    </row>
    <row r="153" spans="1:5" x14ac:dyDescent="0.2">
      <c r="A153"/>
      <c r="B153"/>
      <c r="C153"/>
      <c r="D153"/>
      <c r="E153"/>
    </row>
    <row r="154" spans="1:5" x14ac:dyDescent="0.2">
      <c r="A154"/>
      <c r="B154"/>
      <c r="C154"/>
      <c r="D154"/>
      <c r="E154"/>
    </row>
    <row r="155" spans="1:5" x14ac:dyDescent="0.2">
      <c r="A155"/>
      <c r="B155"/>
      <c r="C155"/>
      <c r="D155"/>
      <c r="E155"/>
    </row>
    <row r="156" spans="1:5" x14ac:dyDescent="0.2">
      <c r="A156"/>
      <c r="B156"/>
      <c r="C156"/>
      <c r="D156"/>
      <c r="E156"/>
    </row>
    <row r="157" spans="1:5" x14ac:dyDescent="0.2">
      <c r="A157"/>
      <c r="B157"/>
      <c r="C157"/>
      <c r="D157"/>
      <c r="E157"/>
    </row>
    <row r="158" spans="1:5" x14ac:dyDescent="0.2">
      <c r="A158"/>
      <c r="B158"/>
      <c r="C158"/>
      <c r="D158"/>
      <c r="E158"/>
    </row>
    <row r="159" spans="1:5" x14ac:dyDescent="0.2">
      <c r="A159"/>
      <c r="B159"/>
      <c r="C159"/>
      <c r="D159"/>
      <c r="E159"/>
    </row>
    <row r="160" spans="1:5" x14ac:dyDescent="0.2">
      <c r="A160"/>
      <c r="B160"/>
      <c r="C160"/>
      <c r="D160"/>
      <c r="E160"/>
    </row>
    <row r="161" spans="1:5" x14ac:dyDescent="0.2">
      <c r="A161"/>
      <c r="B161"/>
      <c r="C161"/>
      <c r="D161"/>
      <c r="E161"/>
    </row>
    <row r="162" spans="1:5" x14ac:dyDescent="0.2">
      <c r="A162"/>
      <c r="B162"/>
      <c r="C162"/>
      <c r="D162"/>
      <c r="E162"/>
    </row>
    <row r="163" spans="1:5" x14ac:dyDescent="0.2">
      <c r="A163"/>
      <c r="B163"/>
      <c r="C163"/>
      <c r="D163"/>
      <c r="E163"/>
    </row>
    <row r="164" spans="1:5" x14ac:dyDescent="0.2">
      <c r="A164"/>
      <c r="B164"/>
      <c r="C164"/>
      <c r="D164"/>
      <c r="E164"/>
    </row>
    <row r="165" spans="1:5" x14ac:dyDescent="0.2">
      <c r="A165"/>
      <c r="B165"/>
      <c r="C165"/>
      <c r="D165"/>
      <c r="E165"/>
    </row>
    <row r="166" spans="1:5" x14ac:dyDescent="0.2">
      <c r="A166"/>
      <c r="B166"/>
      <c r="C166"/>
      <c r="D166"/>
      <c r="E166"/>
    </row>
    <row r="167" spans="1:5" x14ac:dyDescent="0.2">
      <c r="A167"/>
      <c r="B167"/>
      <c r="C167"/>
      <c r="D167"/>
      <c r="E167"/>
    </row>
    <row r="168" spans="1:5" x14ac:dyDescent="0.2">
      <c r="A168"/>
      <c r="B168"/>
      <c r="C168"/>
      <c r="D168"/>
      <c r="E168"/>
    </row>
    <row r="169" spans="1:5" x14ac:dyDescent="0.2">
      <c r="A169"/>
      <c r="B169"/>
      <c r="C169"/>
      <c r="D169"/>
      <c r="E169"/>
    </row>
    <row r="170" spans="1:5" x14ac:dyDescent="0.2">
      <c r="A170"/>
      <c r="B170"/>
      <c r="C170"/>
      <c r="D170"/>
      <c r="E170"/>
    </row>
    <row r="171" spans="1:5" x14ac:dyDescent="0.2">
      <c r="A171"/>
      <c r="B171"/>
      <c r="C171"/>
      <c r="D171"/>
      <c r="E171"/>
    </row>
    <row r="172" spans="1:5" x14ac:dyDescent="0.2">
      <c r="A172"/>
      <c r="B172"/>
      <c r="C172"/>
      <c r="D172"/>
      <c r="E172"/>
    </row>
    <row r="173" spans="1:5" x14ac:dyDescent="0.2">
      <c r="A173"/>
      <c r="B173"/>
      <c r="C173"/>
      <c r="D173"/>
      <c r="E173"/>
    </row>
    <row r="174" spans="1:5" x14ac:dyDescent="0.2">
      <c r="A174"/>
      <c r="B174"/>
      <c r="C174"/>
      <c r="D174"/>
      <c r="E174"/>
    </row>
    <row r="175" spans="1:5" x14ac:dyDescent="0.2">
      <c r="A175"/>
      <c r="B175"/>
      <c r="C175"/>
      <c r="D175"/>
      <c r="E175"/>
    </row>
    <row r="176" spans="1:5" x14ac:dyDescent="0.2">
      <c r="A176"/>
      <c r="B176"/>
      <c r="C176"/>
      <c r="D176"/>
      <c r="E176"/>
    </row>
    <row r="177" spans="1:5" x14ac:dyDescent="0.2">
      <c r="A177"/>
      <c r="B177"/>
      <c r="C177"/>
      <c r="D177"/>
      <c r="E177"/>
    </row>
    <row r="178" spans="1:5" x14ac:dyDescent="0.2">
      <c r="A178"/>
      <c r="B178"/>
      <c r="C178"/>
      <c r="D178"/>
      <c r="E178"/>
    </row>
    <row r="179" spans="1:5" x14ac:dyDescent="0.2">
      <c r="A179"/>
      <c r="B179"/>
      <c r="C179"/>
      <c r="D179"/>
      <c r="E179"/>
    </row>
    <row r="180" spans="1:5" x14ac:dyDescent="0.2">
      <c r="A180"/>
      <c r="B180"/>
      <c r="C180"/>
      <c r="D180"/>
      <c r="E180"/>
    </row>
    <row r="181" spans="1:5" x14ac:dyDescent="0.2">
      <c r="A181"/>
      <c r="B181"/>
      <c r="C181"/>
      <c r="D181"/>
      <c r="E181"/>
    </row>
    <row r="182" spans="1:5" x14ac:dyDescent="0.2">
      <c r="A182"/>
      <c r="B182"/>
      <c r="C182"/>
      <c r="D182"/>
      <c r="E182"/>
    </row>
    <row r="183" spans="1:5" x14ac:dyDescent="0.2">
      <c r="A183"/>
      <c r="B183"/>
      <c r="C183"/>
      <c r="D183"/>
      <c r="E183"/>
    </row>
    <row r="184" spans="1:5" x14ac:dyDescent="0.2">
      <c r="A184"/>
      <c r="B184"/>
      <c r="C184"/>
      <c r="D184"/>
      <c r="E184"/>
    </row>
    <row r="185" spans="1:5" x14ac:dyDescent="0.2">
      <c r="A185"/>
      <c r="B185"/>
      <c r="C185"/>
      <c r="D185"/>
      <c r="E185"/>
    </row>
    <row r="186" spans="1:5" x14ac:dyDescent="0.2">
      <c r="A186"/>
      <c r="B186"/>
      <c r="C186"/>
      <c r="D186"/>
      <c r="E186"/>
    </row>
    <row r="187" spans="1:5" x14ac:dyDescent="0.2">
      <c r="A187"/>
      <c r="B187"/>
      <c r="C187"/>
      <c r="D187"/>
      <c r="E187"/>
    </row>
    <row r="188" spans="1:5" x14ac:dyDescent="0.2">
      <c r="A188"/>
      <c r="B188"/>
      <c r="C188"/>
      <c r="D188"/>
      <c r="E188"/>
    </row>
    <row r="189" spans="1:5" x14ac:dyDescent="0.2">
      <c r="A189"/>
      <c r="B189"/>
      <c r="C189"/>
      <c r="D189"/>
      <c r="E189"/>
    </row>
    <row r="190" spans="1:5" x14ac:dyDescent="0.2">
      <c r="A190"/>
      <c r="B190"/>
      <c r="C190"/>
      <c r="D190"/>
      <c r="E190"/>
    </row>
    <row r="191" spans="1:5" x14ac:dyDescent="0.2">
      <c r="A191"/>
      <c r="B191"/>
      <c r="C191"/>
      <c r="D191"/>
      <c r="E191"/>
    </row>
    <row r="192" spans="1:5" x14ac:dyDescent="0.2">
      <c r="A192"/>
      <c r="B192"/>
      <c r="C192"/>
      <c r="D192"/>
      <c r="E192"/>
    </row>
    <row r="193" spans="1:5" x14ac:dyDescent="0.2">
      <c r="A193"/>
      <c r="B193"/>
      <c r="C193"/>
      <c r="D193"/>
      <c r="E193"/>
    </row>
    <row r="194" spans="1:5" x14ac:dyDescent="0.2">
      <c r="A194"/>
      <c r="B194"/>
      <c r="C194"/>
      <c r="D194"/>
      <c r="E194"/>
    </row>
    <row r="195" spans="1:5" x14ac:dyDescent="0.2">
      <c r="A195"/>
      <c r="B195"/>
      <c r="C195"/>
      <c r="D195"/>
      <c r="E195"/>
    </row>
    <row r="196" spans="1:5" x14ac:dyDescent="0.2">
      <c r="A196"/>
      <c r="B196"/>
      <c r="C196"/>
      <c r="D196"/>
      <c r="E196"/>
    </row>
    <row r="197" spans="1:5" x14ac:dyDescent="0.2">
      <c r="A197"/>
      <c r="B197"/>
      <c r="C197"/>
      <c r="D197"/>
      <c r="E197"/>
    </row>
    <row r="198" spans="1:5" x14ac:dyDescent="0.2">
      <c r="A198"/>
      <c r="B198"/>
      <c r="C198"/>
      <c r="D198"/>
      <c r="E198"/>
    </row>
    <row r="199" spans="1:5" x14ac:dyDescent="0.2">
      <c r="A199"/>
      <c r="B199"/>
      <c r="C199"/>
      <c r="D199"/>
      <c r="E199"/>
    </row>
    <row r="200" spans="1:5" x14ac:dyDescent="0.2">
      <c r="A200"/>
      <c r="B200"/>
      <c r="C200"/>
      <c r="D200"/>
      <c r="E200"/>
    </row>
    <row r="201" spans="1:5" x14ac:dyDescent="0.2">
      <c r="A201"/>
      <c r="B201"/>
      <c r="C201"/>
      <c r="D201"/>
      <c r="E201"/>
    </row>
    <row r="202" spans="1:5" x14ac:dyDescent="0.2">
      <c r="A202"/>
      <c r="B202"/>
      <c r="C202"/>
      <c r="D202"/>
      <c r="E202"/>
    </row>
    <row r="203" spans="1:5" x14ac:dyDescent="0.2">
      <c r="A203"/>
      <c r="B203"/>
      <c r="C203"/>
      <c r="D203"/>
      <c r="E203"/>
    </row>
    <row r="204" spans="1:5" x14ac:dyDescent="0.2">
      <c r="A204"/>
      <c r="B204"/>
      <c r="C204"/>
      <c r="D204"/>
      <c r="E204"/>
    </row>
    <row r="205" spans="1:5" x14ac:dyDescent="0.2">
      <c r="A205"/>
      <c r="B205"/>
      <c r="C205"/>
      <c r="D205"/>
      <c r="E205"/>
    </row>
    <row r="206" spans="1:5" x14ac:dyDescent="0.2">
      <c r="A206"/>
      <c r="B206"/>
      <c r="C206"/>
      <c r="D206"/>
      <c r="E206"/>
    </row>
    <row r="207" spans="1:5" x14ac:dyDescent="0.2">
      <c r="A207"/>
      <c r="B207"/>
      <c r="C207"/>
      <c r="D207"/>
      <c r="E207"/>
    </row>
    <row r="208" spans="1:5" x14ac:dyDescent="0.2">
      <c r="A208"/>
      <c r="B208"/>
      <c r="C208"/>
      <c r="D208"/>
      <c r="E208"/>
    </row>
    <row r="209" spans="1:5" x14ac:dyDescent="0.2">
      <c r="A209"/>
      <c r="B209"/>
      <c r="C209"/>
      <c r="D209"/>
      <c r="E209"/>
    </row>
    <row r="210" spans="1:5" x14ac:dyDescent="0.2">
      <c r="A210"/>
      <c r="B210"/>
      <c r="C210"/>
      <c r="D210"/>
      <c r="E210"/>
    </row>
    <row r="211" spans="1:5" x14ac:dyDescent="0.2">
      <c r="A211"/>
      <c r="B211"/>
      <c r="C211"/>
      <c r="D211"/>
      <c r="E211"/>
    </row>
    <row r="212" spans="1:5" x14ac:dyDescent="0.2">
      <c r="A212"/>
      <c r="B212"/>
      <c r="C212"/>
      <c r="D212"/>
      <c r="E212"/>
    </row>
    <row r="213" spans="1:5" x14ac:dyDescent="0.2">
      <c r="A213"/>
      <c r="B213"/>
      <c r="C213"/>
      <c r="D213"/>
      <c r="E213"/>
    </row>
    <row r="214" spans="1:5" x14ac:dyDescent="0.2">
      <c r="A214"/>
      <c r="B214"/>
      <c r="C214"/>
      <c r="D214"/>
      <c r="E214"/>
    </row>
    <row r="215" spans="1:5" x14ac:dyDescent="0.2">
      <c r="A215"/>
      <c r="B215"/>
      <c r="C215"/>
      <c r="D215"/>
      <c r="E215"/>
    </row>
    <row r="216" spans="1:5" x14ac:dyDescent="0.2">
      <c r="A216"/>
      <c r="B216"/>
      <c r="C216"/>
      <c r="D216"/>
      <c r="E216"/>
    </row>
    <row r="217" spans="1:5" x14ac:dyDescent="0.2">
      <c r="A217"/>
      <c r="B217"/>
      <c r="C217"/>
      <c r="D217"/>
      <c r="E217"/>
    </row>
    <row r="218" spans="1:5" x14ac:dyDescent="0.2">
      <c r="A218"/>
      <c r="B218"/>
      <c r="C218"/>
      <c r="D218"/>
      <c r="E218"/>
    </row>
    <row r="219" spans="1:5" x14ac:dyDescent="0.2">
      <c r="A219"/>
      <c r="B219"/>
      <c r="C219"/>
      <c r="D219"/>
      <c r="E219"/>
    </row>
    <row r="220" spans="1:5" x14ac:dyDescent="0.2">
      <c r="A220"/>
      <c r="B220"/>
      <c r="C220"/>
      <c r="D220"/>
      <c r="E220"/>
    </row>
    <row r="221" spans="1:5" x14ac:dyDescent="0.2">
      <c r="A221"/>
      <c r="B221"/>
      <c r="C221"/>
      <c r="D221"/>
      <c r="E221"/>
    </row>
    <row r="222" spans="1:5" x14ac:dyDescent="0.2">
      <c r="A222"/>
      <c r="B222"/>
      <c r="C222"/>
      <c r="D222"/>
      <c r="E222"/>
    </row>
    <row r="223" spans="1:5" x14ac:dyDescent="0.2">
      <c r="A223"/>
      <c r="B223"/>
      <c r="C223"/>
      <c r="D223"/>
      <c r="E223"/>
    </row>
    <row r="224" spans="1:5" x14ac:dyDescent="0.2">
      <c r="A224"/>
      <c r="B224"/>
      <c r="C224"/>
      <c r="D224"/>
      <c r="E224"/>
    </row>
    <row r="225" spans="1:5" x14ac:dyDescent="0.2">
      <c r="A225"/>
      <c r="B225"/>
      <c r="C225"/>
      <c r="D225"/>
      <c r="E225"/>
    </row>
    <row r="226" spans="1:5" x14ac:dyDescent="0.2">
      <c r="A226"/>
      <c r="B226"/>
      <c r="C226"/>
      <c r="D226"/>
      <c r="E226"/>
    </row>
    <row r="227" spans="1:5" x14ac:dyDescent="0.2">
      <c r="A227"/>
      <c r="B227"/>
      <c r="C227"/>
      <c r="D227"/>
      <c r="E227"/>
    </row>
    <row r="228" spans="1:5" x14ac:dyDescent="0.2">
      <c r="A228"/>
      <c r="B228"/>
      <c r="C228"/>
      <c r="D228"/>
      <c r="E228"/>
    </row>
    <row r="229" spans="1:5" x14ac:dyDescent="0.2">
      <c r="A229"/>
      <c r="B229"/>
      <c r="C229"/>
      <c r="D229"/>
      <c r="E229"/>
    </row>
    <row r="230" spans="1:5" x14ac:dyDescent="0.2">
      <c r="A230"/>
      <c r="B230"/>
      <c r="C230"/>
      <c r="D230"/>
      <c r="E230"/>
    </row>
    <row r="231" spans="1:5" x14ac:dyDescent="0.2">
      <c r="A231"/>
      <c r="B231"/>
      <c r="C231"/>
      <c r="D231"/>
      <c r="E231"/>
    </row>
    <row r="232" spans="1:5" x14ac:dyDescent="0.2">
      <c r="A232"/>
      <c r="B232"/>
      <c r="C232"/>
      <c r="D232"/>
      <c r="E232"/>
    </row>
    <row r="233" spans="1:5" x14ac:dyDescent="0.2">
      <c r="A233"/>
      <c r="B233"/>
      <c r="C233"/>
      <c r="D233"/>
      <c r="E233"/>
    </row>
    <row r="234" spans="1:5" x14ac:dyDescent="0.2">
      <c r="A234"/>
      <c r="B234"/>
      <c r="C234"/>
      <c r="D234"/>
      <c r="E234"/>
    </row>
    <row r="235" spans="1:5" x14ac:dyDescent="0.2">
      <c r="A235"/>
      <c r="B235"/>
      <c r="C235"/>
      <c r="D235"/>
      <c r="E235"/>
    </row>
    <row r="236" spans="1:5" x14ac:dyDescent="0.2">
      <c r="A236"/>
      <c r="B236"/>
      <c r="C236"/>
      <c r="D236"/>
      <c r="E236"/>
    </row>
    <row r="237" spans="1:5" x14ac:dyDescent="0.2">
      <c r="A237"/>
      <c r="B237"/>
      <c r="C237"/>
      <c r="D237"/>
      <c r="E237"/>
    </row>
    <row r="238" spans="1:5" x14ac:dyDescent="0.2">
      <c r="A238"/>
      <c r="B238"/>
      <c r="C238"/>
      <c r="D238"/>
      <c r="E238"/>
    </row>
    <row r="239" spans="1:5" x14ac:dyDescent="0.2">
      <c r="A239"/>
      <c r="B239"/>
      <c r="C239"/>
      <c r="D239"/>
      <c r="E239"/>
    </row>
    <row r="240" spans="1:5" x14ac:dyDescent="0.2">
      <c r="A240"/>
      <c r="B240"/>
      <c r="C240"/>
      <c r="D240"/>
      <c r="E240"/>
    </row>
    <row r="241" spans="1:5" x14ac:dyDescent="0.2">
      <c r="A241"/>
      <c r="B241"/>
      <c r="C241"/>
      <c r="D241"/>
      <c r="E241"/>
    </row>
    <row r="242" spans="1:5" x14ac:dyDescent="0.2">
      <c r="A242"/>
      <c r="B242"/>
      <c r="C242"/>
      <c r="D242"/>
      <c r="E242"/>
    </row>
    <row r="243" spans="1:5" x14ac:dyDescent="0.2">
      <c r="A243"/>
      <c r="B243"/>
      <c r="C243"/>
      <c r="D243"/>
      <c r="E243"/>
    </row>
    <row r="244" spans="1:5" x14ac:dyDescent="0.2">
      <c r="A244"/>
      <c r="B244"/>
      <c r="C244"/>
      <c r="D244"/>
      <c r="E244"/>
    </row>
    <row r="245" spans="1:5" x14ac:dyDescent="0.2">
      <c r="A245"/>
      <c r="B245"/>
      <c r="C245"/>
      <c r="D245"/>
      <c r="E245"/>
    </row>
    <row r="246" spans="1:5" x14ac:dyDescent="0.2">
      <c r="A246"/>
      <c r="B246"/>
      <c r="C246"/>
      <c r="D246"/>
      <c r="E246"/>
    </row>
    <row r="247" spans="1:5" x14ac:dyDescent="0.2">
      <c r="A247"/>
      <c r="B247"/>
      <c r="C247"/>
      <c r="D247"/>
      <c r="E247"/>
    </row>
    <row r="248" spans="1:5" x14ac:dyDescent="0.2">
      <c r="A248"/>
      <c r="B248"/>
      <c r="C248"/>
      <c r="D248"/>
      <c r="E248"/>
    </row>
    <row r="249" spans="1:5" x14ac:dyDescent="0.2">
      <c r="A249"/>
      <c r="B249"/>
      <c r="C249"/>
      <c r="D249"/>
      <c r="E249"/>
    </row>
    <row r="250" spans="1:5" x14ac:dyDescent="0.2">
      <c r="A250"/>
      <c r="B250"/>
      <c r="C250"/>
      <c r="D250"/>
      <c r="E250"/>
    </row>
    <row r="251" spans="1:5" x14ac:dyDescent="0.2">
      <c r="A251"/>
      <c r="B251"/>
      <c r="C251"/>
      <c r="D251"/>
      <c r="E251"/>
    </row>
    <row r="252" spans="1:5" x14ac:dyDescent="0.2">
      <c r="A252"/>
      <c r="B252"/>
      <c r="C252"/>
      <c r="D252"/>
      <c r="E252"/>
    </row>
    <row r="253" spans="1:5" x14ac:dyDescent="0.2">
      <c r="A253"/>
      <c r="B253"/>
      <c r="C253"/>
      <c r="D253"/>
      <c r="E253"/>
    </row>
    <row r="254" spans="1:5" x14ac:dyDescent="0.2">
      <c r="A254"/>
      <c r="B254"/>
      <c r="C254"/>
      <c r="D254"/>
      <c r="E254"/>
    </row>
    <row r="255" spans="1:5" x14ac:dyDescent="0.2">
      <c r="A255"/>
      <c r="B255"/>
      <c r="C255"/>
      <c r="D255"/>
      <c r="E255"/>
    </row>
    <row r="256" spans="1:5" x14ac:dyDescent="0.2">
      <c r="A256"/>
      <c r="B256"/>
      <c r="C256"/>
      <c r="D256"/>
      <c r="E256"/>
    </row>
    <row r="257" spans="1:5" x14ac:dyDescent="0.2">
      <c r="A257"/>
      <c r="B257"/>
      <c r="C257"/>
      <c r="D257"/>
      <c r="E257"/>
    </row>
    <row r="258" spans="1:5" x14ac:dyDescent="0.2">
      <c r="A258"/>
      <c r="B258"/>
      <c r="C258"/>
      <c r="D258"/>
      <c r="E258"/>
    </row>
    <row r="259" spans="1:5" x14ac:dyDescent="0.2">
      <c r="A259"/>
      <c r="B259"/>
      <c r="C259"/>
      <c r="D259"/>
      <c r="E259"/>
    </row>
    <row r="260" spans="1:5" x14ac:dyDescent="0.2">
      <c r="A260"/>
      <c r="B260"/>
      <c r="C260"/>
      <c r="D260"/>
      <c r="E260"/>
    </row>
    <row r="261" spans="1:5" x14ac:dyDescent="0.2">
      <c r="A261"/>
      <c r="B261"/>
      <c r="C261"/>
      <c r="D261"/>
      <c r="E261"/>
    </row>
    <row r="262" spans="1:5" x14ac:dyDescent="0.2">
      <c r="A262"/>
      <c r="B262"/>
      <c r="C262"/>
      <c r="D262"/>
      <c r="E262"/>
    </row>
    <row r="263" spans="1:5" x14ac:dyDescent="0.2">
      <c r="A263"/>
      <c r="B263"/>
      <c r="C263"/>
      <c r="D263"/>
      <c r="E263"/>
    </row>
    <row r="264" spans="1:5" x14ac:dyDescent="0.2">
      <c r="A264"/>
      <c r="B264"/>
      <c r="C264"/>
      <c r="D264"/>
      <c r="E264"/>
    </row>
    <row r="265" spans="1:5" x14ac:dyDescent="0.2">
      <c r="A265"/>
      <c r="B265"/>
      <c r="C265"/>
      <c r="D265"/>
      <c r="E265"/>
    </row>
    <row r="266" spans="1:5" x14ac:dyDescent="0.2">
      <c r="A266"/>
      <c r="B266"/>
      <c r="C266"/>
      <c r="D266"/>
      <c r="E266"/>
    </row>
    <row r="267" spans="1:5" x14ac:dyDescent="0.2">
      <c r="A267"/>
      <c r="B267"/>
      <c r="C267"/>
      <c r="D267"/>
      <c r="E267"/>
    </row>
    <row r="268" spans="1:5" x14ac:dyDescent="0.2">
      <c r="A268"/>
      <c r="B268"/>
      <c r="C268"/>
      <c r="D268"/>
      <c r="E268"/>
    </row>
    <row r="269" spans="1:5" x14ac:dyDescent="0.2">
      <c r="A269"/>
      <c r="B269"/>
      <c r="C269"/>
      <c r="D269"/>
      <c r="E269"/>
    </row>
    <row r="270" spans="1:5" x14ac:dyDescent="0.2">
      <c r="A270"/>
      <c r="B270"/>
      <c r="C270"/>
      <c r="D270"/>
      <c r="E270"/>
    </row>
    <row r="271" spans="1:5" x14ac:dyDescent="0.2">
      <c r="A271"/>
      <c r="B271"/>
      <c r="C271"/>
      <c r="D271"/>
      <c r="E271"/>
    </row>
    <row r="272" spans="1:5" x14ac:dyDescent="0.2">
      <c r="A272"/>
      <c r="B272"/>
      <c r="C272"/>
      <c r="D272"/>
      <c r="E272"/>
    </row>
    <row r="273" spans="1:5" x14ac:dyDescent="0.2">
      <c r="A273"/>
      <c r="B273"/>
      <c r="C273"/>
      <c r="D273"/>
      <c r="E273"/>
    </row>
    <row r="274" spans="1:5" x14ac:dyDescent="0.2">
      <c r="A274"/>
      <c r="B274"/>
      <c r="C274"/>
      <c r="D274"/>
      <c r="E274"/>
    </row>
    <row r="275" spans="1:5" x14ac:dyDescent="0.2">
      <c r="A275"/>
      <c r="B275"/>
      <c r="C275"/>
      <c r="D275"/>
      <c r="E275"/>
    </row>
    <row r="276" spans="1:5" x14ac:dyDescent="0.2">
      <c r="A276"/>
      <c r="B276"/>
      <c r="C276"/>
      <c r="D276"/>
      <c r="E276"/>
    </row>
    <row r="277" spans="1:5" x14ac:dyDescent="0.2">
      <c r="A277"/>
      <c r="B277"/>
      <c r="C277"/>
      <c r="D277"/>
      <c r="E277"/>
    </row>
    <row r="278" spans="1:5" x14ac:dyDescent="0.2">
      <c r="A278"/>
      <c r="B278"/>
      <c r="C278"/>
      <c r="D278"/>
      <c r="E278"/>
    </row>
    <row r="279" spans="1:5" x14ac:dyDescent="0.2">
      <c r="A279"/>
      <c r="B279"/>
      <c r="C279"/>
      <c r="D279"/>
      <c r="E279"/>
    </row>
    <row r="280" spans="1:5" x14ac:dyDescent="0.2">
      <c r="A280"/>
      <c r="B280"/>
      <c r="C280"/>
      <c r="D280"/>
      <c r="E280"/>
    </row>
    <row r="281" spans="1:5" x14ac:dyDescent="0.2">
      <c r="A281"/>
      <c r="B281"/>
      <c r="C281"/>
      <c r="D281"/>
      <c r="E281"/>
    </row>
    <row r="282" spans="1:5" x14ac:dyDescent="0.2">
      <c r="A282"/>
      <c r="B282"/>
      <c r="C282"/>
      <c r="D282"/>
      <c r="E282"/>
    </row>
    <row r="283" spans="1:5" x14ac:dyDescent="0.2">
      <c r="A283"/>
      <c r="B283"/>
      <c r="C283"/>
      <c r="D283"/>
      <c r="E283"/>
    </row>
    <row r="284" spans="1:5" x14ac:dyDescent="0.2">
      <c r="A284"/>
      <c r="B284"/>
      <c r="C284"/>
      <c r="D284"/>
      <c r="E284"/>
    </row>
    <row r="285" spans="1:5" x14ac:dyDescent="0.2">
      <c r="A285"/>
      <c r="B285"/>
      <c r="C285"/>
      <c r="D285"/>
      <c r="E285"/>
    </row>
    <row r="286" spans="1:5" x14ac:dyDescent="0.2">
      <c r="A286"/>
      <c r="B286"/>
      <c r="C286"/>
      <c r="D286"/>
      <c r="E286"/>
    </row>
    <row r="287" spans="1:5" x14ac:dyDescent="0.2">
      <c r="A287"/>
      <c r="B287"/>
      <c r="C287"/>
      <c r="D287"/>
      <c r="E287"/>
    </row>
    <row r="288" spans="1:5" x14ac:dyDescent="0.2">
      <c r="A288"/>
      <c r="B288"/>
      <c r="C288"/>
      <c r="D288"/>
      <c r="E288"/>
    </row>
    <row r="289" spans="1:5" x14ac:dyDescent="0.2">
      <c r="A289"/>
      <c r="B289"/>
      <c r="C289"/>
      <c r="D289"/>
      <c r="E289"/>
    </row>
    <row r="290" spans="1:5" x14ac:dyDescent="0.2">
      <c r="A290"/>
      <c r="B290"/>
      <c r="C290"/>
      <c r="D290"/>
      <c r="E290"/>
    </row>
    <row r="291" spans="1:5" x14ac:dyDescent="0.2">
      <c r="A291"/>
      <c r="B291"/>
      <c r="C291"/>
      <c r="D291"/>
      <c r="E291"/>
    </row>
    <row r="292" spans="1:5" x14ac:dyDescent="0.2">
      <c r="A292"/>
      <c r="B292"/>
      <c r="C292"/>
      <c r="D292"/>
      <c r="E292"/>
    </row>
    <row r="293" spans="1:5" x14ac:dyDescent="0.2">
      <c r="A293"/>
      <c r="B293"/>
      <c r="C293"/>
      <c r="D293"/>
      <c r="E293"/>
    </row>
    <row r="294" spans="1:5" x14ac:dyDescent="0.2">
      <c r="A294"/>
      <c r="B294"/>
      <c r="C294"/>
      <c r="D294"/>
      <c r="E294"/>
    </row>
    <row r="295" spans="1:5" x14ac:dyDescent="0.2">
      <c r="A295"/>
      <c r="B295"/>
      <c r="C295"/>
      <c r="D295"/>
      <c r="E295"/>
    </row>
    <row r="296" spans="1:5" x14ac:dyDescent="0.2">
      <c r="A296"/>
      <c r="B296"/>
      <c r="C296"/>
      <c r="D296"/>
      <c r="E296"/>
    </row>
    <row r="297" spans="1:5" x14ac:dyDescent="0.2">
      <c r="A297"/>
      <c r="B297"/>
      <c r="C297"/>
      <c r="D297"/>
      <c r="E297"/>
    </row>
    <row r="298" spans="1:5" x14ac:dyDescent="0.2">
      <c r="A298"/>
      <c r="B298"/>
      <c r="C298"/>
      <c r="D298"/>
      <c r="E298"/>
    </row>
    <row r="299" spans="1:5" x14ac:dyDescent="0.2">
      <c r="A299"/>
      <c r="B299"/>
      <c r="C299"/>
      <c r="D299"/>
      <c r="E299"/>
    </row>
    <row r="300" spans="1:5" x14ac:dyDescent="0.2">
      <c r="A300"/>
      <c r="B300"/>
      <c r="C300"/>
      <c r="D300"/>
      <c r="E300"/>
    </row>
    <row r="301" spans="1:5" x14ac:dyDescent="0.2">
      <c r="A301"/>
      <c r="B301"/>
      <c r="C301"/>
      <c r="D301"/>
      <c r="E301"/>
    </row>
    <row r="302" spans="1:5" x14ac:dyDescent="0.2">
      <c r="A302"/>
      <c r="B302"/>
      <c r="C302"/>
      <c r="D302"/>
      <c r="E302"/>
    </row>
    <row r="303" spans="1:5" x14ac:dyDescent="0.2">
      <c r="A303"/>
      <c r="B303"/>
      <c r="C303"/>
      <c r="D303"/>
      <c r="E303"/>
    </row>
    <row r="304" spans="1:5" x14ac:dyDescent="0.2">
      <c r="A304"/>
      <c r="B304"/>
      <c r="C304"/>
      <c r="D304"/>
      <c r="E304"/>
    </row>
    <row r="305" spans="1:5" x14ac:dyDescent="0.2">
      <c r="A305"/>
      <c r="B305"/>
      <c r="C305"/>
      <c r="D305"/>
      <c r="E305"/>
    </row>
    <row r="306" spans="1:5" x14ac:dyDescent="0.2">
      <c r="A306"/>
      <c r="B306"/>
      <c r="C306"/>
      <c r="D306"/>
      <c r="E306"/>
    </row>
    <row r="307" spans="1:5" x14ac:dyDescent="0.2">
      <c r="A307"/>
      <c r="B307"/>
      <c r="C307"/>
      <c r="D307"/>
      <c r="E307"/>
    </row>
    <row r="308" spans="1:5" x14ac:dyDescent="0.2">
      <c r="A308"/>
      <c r="B308"/>
      <c r="C308"/>
      <c r="D308"/>
      <c r="E308"/>
    </row>
    <row r="309" spans="1:5" x14ac:dyDescent="0.2">
      <c r="A309"/>
      <c r="B309"/>
      <c r="C309"/>
      <c r="D309"/>
      <c r="E309"/>
    </row>
    <row r="310" spans="1:5" x14ac:dyDescent="0.2">
      <c r="A310"/>
      <c r="B310"/>
      <c r="C310"/>
      <c r="D310"/>
      <c r="E310"/>
    </row>
    <row r="311" spans="1:5" x14ac:dyDescent="0.2">
      <c r="A311"/>
      <c r="B311"/>
      <c r="C311"/>
      <c r="D311"/>
      <c r="E311"/>
    </row>
    <row r="312" spans="1:5" x14ac:dyDescent="0.2">
      <c r="A312"/>
      <c r="B312"/>
      <c r="C312"/>
      <c r="D312"/>
      <c r="E312"/>
    </row>
    <row r="313" spans="1:5" x14ac:dyDescent="0.2">
      <c r="A313"/>
      <c r="B313"/>
      <c r="C313"/>
      <c r="D313"/>
      <c r="E313"/>
    </row>
    <row r="314" spans="1:5" x14ac:dyDescent="0.2">
      <c r="A314"/>
      <c r="B314"/>
      <c r="C314"/>
      <c r="D314"/>
      <c r="E314"/>
    </row>
    <row r="315" spans="1:5" x14ac:dyDescent="0.2">
      <c r="A315"/>
      <c r="B315"/>
      <c r="C315"/>
      <c r="D315"/>
      <c r="E315"/>
    </row>
    <row r="316" spans="1:5" x14ac:dyDescent="0.2">
      <c r="A316"/>
      <c r="B316"/>
      <c r="C316"/>
      <c r="D316"/>
      <c r="E316"/>
    </row>
    <row r="317" spans="1:5" x14ac:dyDescent="0.2">
      <c r="A317"/>
      <c r="B317"/>
      <c r="C317"/>
      <c r="D317"/>
      <c r="E317"/>
    </row>
    <row r="318" spans="1:5" x14ac:dyDescent="0.2">
      <c r="A318"/>
      <c r="B318"/>
      <c r="C318"/>
      <c r="D318"/>
      <c r="E318"/>
    </row>
    <row r="319" spans="1:5" x14ac:dyDescent="0.2">
      <c r="A319"/>
      <c r="B319"/>
      <c r="C319"/>
      <c r="D319"/>
      <c r="E319"/>
    </row>
    <row r="320" spans="1:5" x14ac:dyDescent="0.2">
      <c r="A320"/>
      <c r="B320"/>
      <c r="C320"/>
      <c r="D320"/>
      <c r="E320"/>
    </row>
    <row r="321" spans="1:5" x14ac:dyDescent="0.2">
      <c r="A321"/>
      <c r="B321"/>
      <c r="C321"/>
      <c r="D321"/>
      <c r="E321"/>
    </row>
    <row r="322" spans="1:5" x14ac:dyDescent="0.2">
      <c r="A322"/>
      <c r="B322"/>
      <c r="C322"/>
      <c r="D322"/>
      <c r="E322"/>
    </row>
    <row r="323" spans="1:5" x14ac:dyDescent="0.2">
      <c r="A323"/>
      <c r="B323"/>
      <c r="C323"/>
      <c r="D323"/>
      <c r="E323"/>
    </row>
    <row r="324" spans="1:5" x14ac:dyDescent="0.2">
      <c r="A324"/>
      <c r="B324"/>
      <c r="C324"/>
      <c r="D324"/>
      <c r="E324"/>
    </row>
    <row r="325" spans="1:5" x14ac:dyDescent="0.2">
      <c r="A325"/>
      <c r="B325"/>
      <c r="C325"/>
      <c r="D325"/>
      <c r="E325"/>
    </row>
    <row r="326" spans="1:5" x14ac:dyDescent="0.2">
      <c r="A326"/>
      <c r="B326"/>
      <c r="C326"/>
      <c r="D326"/>
      <c r="E326"/>
    </row>
    <row r="327" spans="1:5" x14ac:dyDescent="0.2">
      <c r="A327"/>
      <c r="B327"/>
      <c r="C327"/>
      <c r="D327"/>
      <c r="E327"/>
    </row>
    <row r="328" spans="1:5" x14ac:dyDescent="0.2">
      <c r="A328"/>
      <c r="B328"/>
      <c r="C328"/>
      <c r="D328"/>
      <c r="E328"/>
    </row>
    <row r="329" spans="1:5" x14ac:dyDescent="0.2">
      <c r="A329"/>
      <c r="B329"/>
      <c r="C329"/>
      <c r="D329"/>
      <c r="E329"/>
    </row>
    <row r="330" spans="1:5" x14ac:dyDescent="0.2">
      <c r="A330"/>
      <c r="B330"/>
      <c r="C330"/>
      <c r="D330"/>
      <c r="E330"/>
    </row>
    <row r="331" spans="1:5" x14ac:dyDescent="0.2">
      <c r="A331"/>
      <c r="B331"/>
      <c r="C331"/>
      <c r="D331"/>
      <c r="E331"/>
    </row>
    <row r="332" spans="1:5" x14ac:dyDescent="0.2">
      <c r="A332"/>
      <c r="B332"/>
      <c r="C332"/>
      <c r="D332"/>
      <c r="E332"/>
    </row>
    <row r="333" spans="1:5" x14ac:dyDescent="0.2">
      <c r="A333"/>
      <c r="B333"/>
      <c r="C333"/>
      <c r="D333"/>
      <c r="E333"/>
    </row>
    <row r="334" spans="1:5" x14ac:dyDescent="0.2">
      <c r="A334"/>
      <c r="B334"/>
      <c r="C334"/>
      <c r="D334"/>
      <c r="E334"/>
    </row>
    <row r="335" spans="1:5" x14ac:dyDescent="0.2">
      <c r="A335"/>
      <c r="B335"/>
      <c r="C335"/>
      <c r="D335"/>
      <c r="E335"/>
    </row>
    <row r="336" spans="1:5" x14ac:dyDescent="0.2">
      <c r="A336"/>
      <c r="B336"/>
      <c r="C336"/>
      <c r="D336"/>
      <c r="E336"/>
    </row>
    <row r="337" spans="1:5" x14ac:dyDescent="0.2">
      <c r="A337"/>
      <c r="B337"/>
      <c r="C337"/>
      <c r="D337"/>
      <c r="E337"/>
    </row>
    <row r="338" spans="1:5" x14ac:dyDescent="0.2">
      <c r="A338"/>
      <c r="B338"/>
      <c r="C338"/>
      <c r="D338"/>
      <c r="E338"/>
    </row>
    <row r="339" spans="1:5" x14ac:dyDescent="0.2">
      <c r="A339"/>
      <c r="B339"/>
      <c r="C339"/>
      <c r="D339"/>
      <c r="E339"/>
    </row>
    <row r="340" spans="1:5" x14ac:dyDescent="0.2">
      <c r="A340"/>
      <c r="B340"/>
      <c r="C340"/>
      <c r="D340"/>
      <c r="E340"/>
    </row>
    <row r="341" spans="1:5" x14ac:dyDescent="0.2">
      <c r="A341"/>
      <c r="B341"/>
      <c r="C341"/>
      <c r="D341"/>
      <c r="E341"/>
    </row>
    <row r="342" spans="1:5" x14ac:dyDescent="0.2">
      <c r="A342"/>
      <c r="B342"/>
      <c r="C342"/>
      <c r="D342"/>
      <c r="E342"/>
    </row>
    <row r="343" spans="1:5" x14ac:dyDescent="0.2">
      <c r="A343"/>
      <c r="B343"/>
      <c r="C343"/>
      <c r="D343"/>
      <c r="E343"/>
    </row>
    <row r="344" spans="1:5" x14ac:dyDescent="0.2">
      <c r="A344"/>
      <c r="B344"/>
      <c r="C344"/>
      <c r="D344"/>
      <c r="E344"/>
    </row>
    <row r="345" spans="1:5" x14ac:dyDescent="0.2">
      <c r="A345"/>
      <c r="B345"/>
      <c r="C345"/>
      <c r="D345"/>
      <c r="E345"/>
    </row>
    <row r="346" spans="1:5" x14ac:dyDescent="0.2">
      <c r="A346"/>
      <c r="B346"/>
      <c r="C346"/>
      <c r="D346"/>
      <c r="E346"/>
    </row>
    <row r="347" spans="1:5" x14ac:dyDescent="0.2">
      <c r="A347"/>
      <c r="B347"/>
      <c r="C347"/>
      <c r="D347"/>
      <c r="E347"/>
    </row>
    <row r="348" spans="1:5" x14ac:dyDescent="0.2">
      <c r="A348"/>
      <c r="B348"/>
      <c r="C348"/>
      <c r="D348"/>
      <c r="E348"/>
    </row>
    <row r="349" spans="1:5" x14ac:dyDescent="0.2">
      <c r="A349"/>
      <c r="B349"/>
      <c r="C349"/>
      <c r="D349"/>
      <c r="E349"/>
    </row>
    <row r="350" spans="1:5" x14ac:dyDescent="0.2">
      <c r="A350"/>
      <c r="B350"/>
      <c r="C350"/>
      <c r="D350"/>
      <c r="E350"/>
    </row>
    <row r="351" spans="1:5" x14ac:dyDescent="0.2">
      <c r="A351"/>
      <c r="B351"/>
      <c r="C351"/>
      <c r="D351"/>
      <c r="E351"/>
    </row>
    <row r="352" spans="1:5" x14ac:dyDescent="0.2">
      <c r="A352"/>
      <c r="B352"/>
      <c r="C352"/>
      <c r="D352"/>
      <c r="E352"/>
    </row>
    <row r="353" spans="1:5" x14ac:dyDescent="0.2">
      <c r="A353"/>
      <c r="B353"/>
      <c r="C353"/>
      <c r="D353"/>
      <c r="E353"/>
    </row>
    <row r="354" spans="1:5" x14ac:dyDescent="0.2">
      <c r="A354"/>
      <c r="B354"/>
      <c r="C354"/>
      <c r="D354"/>
      <c r="E354"/>
    </row>
    <row r="355" spans="1:5" x14ac:dyDescent="0.2">
      <c r="A355"/>
      <c r="B355"/>
      <c r="C355"/>
      <c r="D355"/>
      <c r="E355"/>
    </row>
    <row r="356" spans="1:5" x14ac:dyDescent="0.2">
      <c r="A356"/>
      <c r="B356"/>
      <c r="C356"/>
      <c r="D356"/>
      <c r="E356"/>
    </row>
    <row r="357" spans="1:5" x14ac:dyDescent="0.2">
      <c r="A357"/>
      <c r="B357"/>
      <c r="C357"/>
      <c r="D357"/>
      <c r="E357"/>
    </row>
    <row r="358" spans="1:5" x14ac:dyDescent="0.2">
      <c r="A358"/>
      <c r="B358"/>
      <c r="C358"/>
      <c r="D358"/>
      <c r="E358"/>
    </row>
    <row r="359" spans="1:5" x14ac:dyDescent="0.2">
      <c r="A359"/>
      <c r="B359"/>
      <c r="C359"/>
      <c r="D359"/>
      <c r="E359"/>
    </row>
    <row r="360" spans="1:5" x14ac:dyDescent="0.2">
      <c r="A360"/>
      <c r="B360"/>
      <c r="C360"/>
      <c r="D360"/>
      <c r="E360"/>
    </row>
    <row r="361" spans="1:5" x14ac:dyDescent="0.2">
      <c r="A361"/>
      <c r="B361"/>
      <c r="C361"/>
      <c r="D361"/>
      <c r="E361"/>
    </row>
    <row r="362" spans="1:5" x14ac:dyDescent="0.2">
      <c r="A362"/>
      <c r="B362"/>
      <c r="C362"/>
      <c r="D362"/>
      <c r="E362"/>
    </row>
    <row r="363" spans="1:5" x14ac:dyDescent="0.2">
      <c r="A363"/>
      <c r="B363"/>
      <c r="C363"/>
      <c r="D363"/>
      <c r="E363"/>
    </row>
    <row r="364" spans="1:5" x14ac:dyDescent="0.2">
      <c r="A364"/>
      <c r="B364"/>
      <c r="C364"/>
      <c r="D364"/>
      <c r="E364"/>
    </row>
    <row r="365" spans="1:5" x14ac:dyDescent="0.2">
      <c r="A365"/>
      <c r="B365"/>
      <c r="C365"/>
      <c r="D365"/>
      <c r="E365"/>
    </row>
    <row r="366" spans="1:5" x14ac:dyDescent="0.2">
      <c r="A366"/>
      <c r="B366"/>
      <c r="C366"/>
      <c r="D366"/>
      <c r="E366"/>
    </row>
    <row r="367" spans="1:5" x14ac:dyDescent="0.2">
      <c r="A367"/>
      <c r="B367"/>
      <c r="C367"/>
      <c r="D367"/>
      <c r="E367"/>
    </row>
    <row r="368" spans="1:5" x14ac:dyDescent="0.2">
      <c r="A368"/>
      <c r="B368"/>
      <c r="C368"/>
      <c r="D368"/>
      <c r="E368"/>
    </row>
    <row r="369" spans="1:5" x14ac:dyDescent="0.2">
      <c r="A369"/>
      <c r="B369"/>
      <c r="C369"/>
      <c r="D369"/>
      <c r="E369"/>
    </row>
    <row r="370" spans="1:5" x14ac:dyDescent="0.2">
      <c r="A370"/>
      <c r="B370"/>
      <c r="C370"/>
      <c r="D370"/>
      <c r="E370"/>
    </row>
    <row r="371" spans="1:5" x14ac:dyDescent="0.2">
      <c r="A371"/>
      <c r="B371"/>
      <c r="C371"/>
      <c r="D371"/>
      <c r="E371"/>
    </row>
    <row r="372" spans="1:5" x14ac:dyDescent="0.2">
      <c r="A372"/>
      <c r="B372"/>
      <c r="C372"/>
      <c r="D372"/>
      <c r="E372"/>
    </row>
    <row r="373" spans="1:5" x14ac:dyDescent="0.2">
      <c r="A373"/>
      <c r="B373"/>
      <c r="C373"/>
      <c r="D373"/>
      <c r="E373"/>
    </row>
    <row r="374" spans="1:5" x14ac:dyDescent="0.2">
      <c r="A374"/>
      <c r="B374"/>
      <c r="C374"/>
      <c r="D374"/>
      <c r="E374"/>
    </row>
    <row r="375" spans="1:5" x14ac:dyDescent="0.2">
      <c r="A375"/>
      <c r="B375"/>
      <c r="C375"/>
      <c r="D375"/>
      <c r="E375"/>
    </row>
    <row r="376" spans="1:5" x14ac:dyDescent="0.2">
      <c r="A376"/>
      <c r="B376"/>
      <c r="C376"/>
      <c r="D376"/>
      <c r="E376"/>
    </row>
    <row r="377" spans="1:5" x14ac:dyDescent="0.2">
      <c r="A377"/>
      <c r="B377"/>
      <c r="C377"/>
      <c r="D377"/>
      <c r="E377"/>
    </row>
    <row r="378" spans="1:5" x14ac:dyDescent="0.2">
      <c r="A378"/>
      <c r="B378"/>
      <c r="C378"/>
      <c r="D378"/>
      <c r="E378"/>
    </row>
    <row r="379" spans="1:5" x14ac:dyDescent="0.2">
      <c r="A379"/>
      <c r="B379"/>
      <c r="C379"/>
      <c r="D379"/>
      <c r="E379"/>
    </row>
    <row r="380" spans="1:5" x14ac:dyDescent="0.2">
      <c r="A380"/>
      <c r="B380"/>
      <c r="C380"/>
      <c r="D380"/>
      <c r="E380"/>
    </row>
    <row r="381" spans="1:5" x14ac:dyDescent="0.2">
      <c r="A381"/>
      <c r="B381"/>
      <c r="C381"/>
      <c r="D381"/>
      <c r="E381"/>
    </row>
    <row r="382" spans="1:5" x14ac:dyDescent="0.2">
      <c r="A382"/>
      <c r="B382"/>
      <c r="C382"/>
      <c r="D382"/>
      <c r="E382"/>
    </row>
    <row r="383" spans="1:5" x14ac:dyDescent="0.2">
      <c r="A383"/>
      <c r="B383"/>
      <c r="C383"/>
      <c r="D383"/>
      <c r="E383"/>
    </row>
    <row r="384" spans="1:5" x14ac:dyDescent="0.2">
      <c r="A384"/>
      <c r="B384"/>
      <c r="C384"/>
      <c r="D384"/>
      <c r="E384"/>
    </row>
    <row r="385" spans="1:5" x14ac:dyDescent="0.2">
      <c r="A385"/>
      <c r="B385"/>
      <c r="C385"/>
      <c r="D385"/>
      <c r="E385"/>
    </row>
    <row r="386" spans="1:5" x14ac:dyDescent="0.2">
      <c r="A386"/>
      <c r="B386"/>
      <c r="C386"/>
      <c r="D386"/>
      <c r="E386"/>
    </row>
    <row r="387" spans="1:5" x14ac:dyDescent="0.2">
      <c r="A387"/>
      <c r="B387"/>
      <c r="C387"/>
      <c r="D387"/>
      <c r="E387"/>
    </row>
    <row r="388" spans="1:5" x14ac:dyDescent="0.2">
      <c r="A388"/>
      <c r="B388"/>
      <c r="C388"/>
      <c r="D388"/>
      <c r="E388"/>
    </row>
    <row r="389" spans="1:5" x14ac:dyDescent="0.2">
      <c r="A389"/>
      <c r="B389"/>
      <c r="C389"/>
      <c r="D389"/>
      <c r="E389"/>
    </row>
    <row r="390" spans="1:5" x14ac:dyDescent="0.2">
      <c r="A390"/>
      <c r="B390"/>
      <c r="C390"/>
      <c r="D390"/>
      <c r="E390"/>
    </row>
    <row r="391" spans="1:5" x14ac:dyDescent="0.2">
      <c r="A391"/>
      <c r="B391"/>
      <c r="C391"/>
      <c r="D391"/>
      <c r="E391"/>
    </row>
    <row r="392" spans="1:5" x14ac:dyDescent="0.2">
      <c r="A392"/>
      <c r="B392"/>
      <c r="C392"/>
      <c r="D392"/>
      <c r="E392"/>
    </row>
    <row r="393" spans="1:5" x14ac:dyDescent="0.2">
      <c r="A393"/>
      <c r="B393"/>
      <c r="C393"/>
      <c r="D393"/>
      <c r="E393"/>
    </row>
    <row r="394" spans="1:5" x14ac:dyDescent="0.2">
      <c r="A394"/>
      <c r="B394"/>
      <c r="C394"/>
      <c r="D394"/>
      <c r="E394"/>
    </row>
    <row r="395" spans="1:5" x14ac:dyDescent="0.2">
      <c r="A395"/>
      <c r="B395"/>
      <c r="C395"/>
      <c r="D395"/>
      <c r="E395"/>
    </row>
    <row r="396" spans="1:5" x14ac:dyDescent="0.2">
      <c r="A396"/>
      <c r="B396"/>
      <c r="C396"/>
      <c r="D396"/>
      <c r="E396"/>
    </row>
    <row r="397" spans="1:5" x14ac:dyDescent="0.2">
      <c r="A397"/>
      <c r="B397"/>
      <c r="C397"/>
      <c r="D397"/>
      <c r="E397"/>
    </row>
    <row r="398" spans="1:5" x14ac:dyDescent="0.2">
      <c r="A398"/>
      <c r="B398"/>
      <c r="C398"/>
      <c r="D398"/>
      <c r="E398"/>
    </row>
    <row r="399" spans="1:5" x14ac:dyDescent="0.2">
      <c r="A399"/>
      <c r="B399"/>
      <c r="C399"/>
      <c r="D399"/>
      <c r="E399"/>
    </row>
    <row r="400" spans="1:5" x14ac:dyDescent="0.2">
      <c r="A400"/>
      <c r="B400"/>
      <c r="C400"/>
      <c r="D400"/>
      <c r="E400"/>
    </row>
    <row r="401" spans="1:5" x14ac:dyDescent="0.2">
      <c r="A401"/>
      <c r="B401"/>
      <c r="C401"/>
      <c r="D401"/>
      <c r="E401"/>
    </row>
    <row r="402" spans="1:5" x14ac:dyDescent="0.2">
      <c r="A402"/>
      <c r="B402"/>
      <c r="C402"/>
      <c r="D402"/>
      <c r="E402"/>
    </row>
    <row r="403" spans="1:5" x14ac:dyDescent="0.2">
      <c r="A403"/>
      <c r="B403"/>
      <c r="C403"/>
      <c r="D403"/>
      <c r="E403"/>
    </row>
    <row r="404" spans="1:5" x14ac:dyDescent="0.2">
      <c r="A404"/>
      <c r="B404"/>
      <c r="C404"/>
      <c r="D404"/>
      <c r="E404"/>
    </row>
    <row r="405" spans="1:5" x14ac:dyDescent="0.2">
      <c r="A405"/>
      <c r="B405"/>
      <c r="C405"/>
      <c r="D405"/>
      <c r="E405"/>
    </row>
    <row r="406" spans="1:5" x14ac:dyDescent="0.2">
      <c r="A406"/>
      <c r="B406"/>
      <c r="C406"/>
      <c r="D406"/>
      <c r="E406"/>
    </row>
    <row r="407" spans="1:5" x14ac:dyDescent="0.2">
      <c r="A407"/>
      <c r="B407"/>
      <c r="C407"/>
      <c r="D407"/>
      <c r="E407"/>
    </row>
    <row r="408" spans="1:5" x14ac:dyDescent="0.2">
      <c r="A408"/>
      <c r="B408"/>
      <c r="C408"/>
      <c r="D408"/>
      <c r="E408"/>
    </row>
    <row r="409" spans="1:5" x14ac:dyDescent="0.2">
      <c r="A409"/>
      <c r="B409"/>
      <c r="C409"/>
      <c r="D409"/>
      <c r="E409"/>
    </row>
    <row r="410" spans="1:5" x14ac:dyDescent="0.2">
      <c r="A410"/>
      <c r="B410"/>
      <c r="C410"/>
      <c r="D410"/>
      <c r="E410"/>
    </row>
    <row r="411" spans="1:5" x14ac:dyDescent="0.2">
      <c r="A411"/>
      <c r="B411"/>
      <c r="C411"/>
      <c r="D411"/>
      <c r="E411"/>
    </row>
    <row r="412" spans="1:5" x14ac:dyDescent="0.2">
      <c r="A412"/>
      <c r="B412"/>
      <c r="C412"/>
      <c r="D412"/>
      <c r="E412"/>
    </row>
    <row r="413" spans="1:5" x14ac:dyDescent="0.2">
      <c r="A413"/>
      <c r="B413"/>
      <c r="C413"/>
      <c r="D413"/>
      <c r="E413"/>
    </row>
    <row r="414" spans="1:5" x14ac:dyDescent="0.2">
      <c r="A414"/>
      <c r="B414"/>
      <c r="C414"/>
      <c r="D414"/>
      <c r="E414"/>
    </row>
    <row r="415" spans="1:5" x14ac:dyDescent="0.2">
      <c r="A415"/>
      <c r="B415"/>
      <c r="C415"/>
      <c r="D415"/>
      <c r="E415"/>
    </row>
    <row r="416" spans="1:5" x14ac:dyDescent="0.2">
      <c r="A416"/>
      <c r="B416"/>
      <c r="C416"/>
      <c r="D416"/>
      <c r="E416"/>
    </row>
    <row r="417" spans="1:5" x14ac:dyDescent="0.2">
      <c r="A417"/>
      <c r="B417"/>
      <c r="C417"/>
      <c r="D417"/>
      <c r="E417"/>
    </row>
    <row r="418" spans="1:5" x14ac:dyDescent="0.2">
      <c r="A418"/>
      <c r="B418"/>
      <c r="C418"/>
      <c r="D418"/>
      <c r="E418"/>
    </row>
    <row r="419" spans="1:5" x14ac:dyDescent="0.2">
      <c r="A419"/>
      <c r="B419"/>
      <c r="C419"/>
      <c r="D419"/>
      <c r="E419"/>
    </row>
    <row r="420" spans="1:5" x14ac:dyDescent="0.2">
      <c r="A420"/>
      <c r="B420"/>
      <c r="C420"/>
      <c r="D420"/>
      <c r="E420"/>
    </row>
    <row r="421" spans="1:5" x14ac:dyDescent="0.2">
      <c r="A421"/>
      <c r="B421"/>
      <c r="C421"/>
      <c r="D421"/>
      <c r="E421"/>
    </row>
    <row r="422" spans="1:5" x14ac:dyDescent="0.2">
      <c r="A422"/>
      <c r="B422"/>
      <c r="C422"/>
      <c r="D422"/>
      <c r="E422"/>
    </row>
    <row r="423" spans="1:5" x14ac:dyDescent="0.2">
      <c r="A423"/>
      <c r="B423"/>
      <c r="C423"/>
      <c r="D423"/>
      <c r="E423"/>
    </row>
    <row r="424" spans="1:5" x14ac:dyDescent="0.2">
      <c r="A424"/>
      <c r="B424"/>
      <c r="C424"/>
      <c r="D424"/>
      <c r="E424"/>
    </row>
    <row r="425" spans="1:5" x14ac:dyDescent="0.2">
      <c r="A425"/>
      <c r="B425"/>
      <c r="C425"/>
      <c r="D425"/>
      <c r="E425"/>
    </row>
    <row r="426" spans="1:5" x14ac:dyDescent="0.2">
      <c r="A426"/>
      <c r="B426"/>
      <c r="C426"/>
      <c r="D426"/>
      <c r="E426"/>
    </row>
    <row r="427" spans="1:5" x14ac:dyDescent="0.2">
      <c r="A427"/>
      <c r="B427"/>
      <c r="C427"/>
      <c r="D427"/>
      <c r="E427"/>
    </row>
    <row r="428" spans="1:5" x14ac:dyDescent="0.2">
      <c r="A428"/>
      <c r="B428"/>
      <c r="C428"/>
      <c r="D428"/>
      <c r="E428"/>
    </row>
    <row r="429" spans="1:5" x14ac:dyDescent="0.2">
      <c r="A429"/>
      <c r="B429"/>
      <c r="C429"/>
      <c r="D429"/>
      <c r="E429"/>
    </row>
    <row r="430" spans="1:5" x14ac:dyDescent="0.2">
      <c r="A430"/>
      <c r="B430"/>
      <c r="C430"/>
      <c r="D430"/>
      <c r="E430"/>
    </row>
    <row r="431" spans="1:5" x14ac:dyDescent="0.2">
      <c r="A431"/>
      <c r="B431"/>
      <c r="C431"/>
      <c r="D431"/>
      <c r="E431"/>
    </row>
    <row r="432" spans="1:5" x14ac:dyDescent="0.2">
      <c r="A432"/>
      <c r="B432"/>
      <c r="C432"/>
      <c r="D432"/>
      <c r="E432"/>
    </row>
    <row r="433" spans="1:5" x14ac:dyDescent="0.2">
      <c r="A433"/>
      <c r="B433"/>
      <c r="C433"/>
      <c r="D433"/>
      <c r="E433"/>
    </row>
    <row r="434" spans="1:5" x14ac:dyDescent="0.2">
      <c r="A434"/>
      <c r="B434"/>
      <c r="C434"/>
      <c r="D434"/>
      <c r="E434"/>
    </row>
    <row r="435" spans="1:5" x14ac:dyDescent="0.2">
      <c r="A435"/>
      <c r="B435"/>
      <c r="C435"/>
      <c r="D435"/>
      <c r="E435"/>
    </row>
    <row r="436" spans="1:5" x14ac:dyDescent="0.2">
      <c r="A436"/>
      <c r="B436"/>
      <c r="C436"/>
      <c r="D436"/>
      <c r="E436"/>
    </row>
    <row r="437" spans="1:5" x14ac:dyDescent="0.2">
      <c r="A437"/>
      <c r="B437"/>
      <c r="C437"/>
      <c r="D437"/>
      <c r="E437"/>
    </row>
    <row r="438" spans="1:5" x14ac:dyDescent="0.2">
      <c r="A438"/>
      <c r="B438"/>
      <c r="C438"/>
      <c r="D438"/>
      <c r="E438"/>
    </row>
    <row r="439" spans="1:5" x14ac:dyDescent="0.2">
      <c r="A439"/>
      <c r="B439"/>
      <c r="C439"/>
      <c r="D439"/>
      <c r="E439"/>
    </row>
    <row r="440" spans="1:5" x14ac:dyDescent="0.2">
      <c r="A440"/>
      <c r="B440"/>
      <c r="C440"/>
      <c r="D440"/>
      <c r="E440"/>
    </row>
    <row r="441" spans="1:5" x14ac:dyDescent="0.2">
      <c r="A441"/>
      <c r="B441"/>
      <c r="C441"/>
      <c r="D441"/>
      <c r="E441"/>
    </row>
    <row r="442" spans="1:5" x14ac:dyDescent="0.2">
      <c r="A442"/>
      <c r="B442"/>
      <c r="C442"/>
      <c r="D442"/>
      <c r="E442"/>
    </row>
    <row r="443" spans="1:5" x14ac:dyDescent="0.2">
      <c r="A443"/>
      <c r="B443"/>
      <c r="C443"/>
      <c r="D443"/>
      <c r="E443"/>
    </row>
    <row r="444" spans="1:5" x14ac:dyDescent="0.2">
      <c r="A444"/>
      <c r="B444"/>
      <c r="C444"/>
      <c r="D444"/>
      <c r="E444"/>
    </row>
    <row r="445" spans="1:5" x14ac:dyDescent="0.2">
      <c r="A445"/>
      <c r="B445"/>
      <c r="C445"/>
      <c r="D445"/>
      <c r="E445"/>
    </row>
    <row r="446" spans="1:5" x14ac:dyDescent="0.2">
      <c r="A446"/>
      <c r="B446"/>
      <c r="C446"/>
      <c r="D446"/>
      <c r="E446"/>
    </row>
    <row r="447" spans="1:5" x14ac:dyDescent="0.2">
      <c r="A447"/>
      <c r="B447"/>
      <c r="C447"/>
      <c r="D447"/>
      <c r="E447"/>
    </row>
    <row r="448" spans="1:5" x14ac:dyDescent="0.2">
      <c r="A448"/>
      <c r="B448"/>
      <c r="C448"/>
      <c r="D448"/>
      <c r="E448"/>
    </row>
    <row r="449" spans="1:5" x14ac:dyDescent="0.2">
      <c r="A449"/>
      <c r="B449"/>
      <c r="C449"/>
      <c r="D449"/>
      <c r="E449"/>
    </row>
    <row r="450" spans="1:5" x14ac:dyDescent="0.2">
      <c r="A450"/>
      <c r="B450"/>
      <c r="C450"/>
      <c r="D450"/>
      <c r="E450"/>
    </row>
    <row r="451" spans="1:5" x14ac:dyDescent="0.2">
      <c r="A451"/>
      <c r="B451"/>
      <c r="C451"/>
      <c r="D451"/>
      <c r="E451"/>
    </row>
    <row r="452" spans="1:5" x14ac:dyDescent="0.2">
      <c r="A452"/>
      <c r="B452"/>
      <c r="C452"/>
      <c r="D452"/>
      <c r="E452"/>
    </row>
    <row r="453" spans="1:5" x14ac:dyDescent="0.2">
      <c r="A453"/>
      <c r="B453"/>
      <c r="C453"/>
      <c r="D453"/>
      <c r="E453"/>
    </row>
    <row r="454" spans="1:5" x14ac:dyDescent="0.2">
      <c r="A454"/>
      <c r="B454"/>
      <c r="C454"/>
      <c r="D454"/>
      <c r="E454"/>
    </row>
    <row r="455" spans="1:5" x14ac:dyDescent="0.2">
      <c r="A455"/>
      <c r="B455"/>
      <c r="C455"/>
      <c r="D455"/>
      <c r="E455"/>
    </row>
    <row r="456" spans="1:5" x14ac:dyDescent="0.2">
      <c r="A456"/>
      <c r="B456"/>
      <c r="C456"/>
      <c r="D456"/>
      <c r="E456"/>
    </row>
    <row r="457" spans="1:5" x14ac:dyDescent="0.2">
      <c r="A457"/>
      <c r="B457"/>
      <c r="C457"/>
      <c r="D457"/>
      <c r="E457"/>
    </row>
    <row r="458" spans="1:5" x14ac:dyDescent="0.2">
      <c r="A458"/>
      <c r="B458"/>
      <c r="C458"/>
      <c r="D458"/>
      <c r="E458"/>
    </row>
    <row r="459" spans="1:5" x14ac:dyDescent="0.2">
      <c r="A459"/>
      <c r="B459"/>
      <c r="C459"/>
      <c r="D459"/>
      <c r="E459"/>
    </row>
    <row r="460" spans="1:5" x14ac:dyDescent="0.2">
      <c r="A460"/>
      <c r="B460"/>
      <c r="C460"/>
      <c r="D460"/>
      <c r="E460"/>
    </row>
    <row r="461" spans="1:5" x14ac:dyDescent="0.2">
      <c r="A461"/>
      <c r="B461"/>
      <c r="C461"/>
      <c r="D461"/>
      <c r="E461"/>
    </row>
    <row r="462" spans="1:5" x14ac:dyDescent="0.2">
      <c r="A462"/>
      <c r="B462"/>
      <c r="C462"/>
      <c r="D462"/>
      <c r="E462"/>
    </row>
    <row r="463" spans="1:5" x14ac:dyDescent="0.2">
      <c r="A463"/>
      <c r="B463"/>
      <c r="C463"/>
      <c r="D463"/>
      <c r="E463"/>
    </row>
    <row r="464" spans="1:5" x14ac:dyDescent="0.2">
      <c r="A464"/>
      <c r="B464"/>
      <c r="C464"/>
      <c r="D464"/>
      <c r="E464"/>
    </row>
    <row r="465" spans="1:5" x14ac:dyDescent="0.2">
      <c r="A465"/>
      <c r="B465"/>
      <c r="C465"/>
      <c r="D465"/>
      <c r="E465"/>
    </row>
    <row r="466" spans="1:5" x14ac:dyDescent="0.2">
      <c r="A466"/>
      <c r="B466"/>
      <c r="C466"/>
      <c r="D466"/>
      <c r="E466"/>
    </row>
    <row r="467" spans="1:5" x14ac:dyDescent="0.2">
      <c r="A467"/>
      <c r="B467"/>
      <c r="C467"/>
      <c r="D467"/>
      <c r="E467"/>
    </row>
    <row r="468" spans="1:5" x14ac:dyDescent="0.2">
      <c r="A468"/>
      <c r="B468"/>
      <c r="C468"/>
      <c r="D468"/>
      <c r="E468"/>
    </row>
    <row r="469" spans="1:5" x14ac:dyDescent="0.2">
      <c r="A469"/>
      <c r="B469"/>
      <c r="C469"/>
      <c r="D469"/>
      <c r="E469"/>
    </row>
    <row r="470" spans="1:5" x14ac:dyDescent="0.2">
      <c r="A470"/>
      <c r="B470"/>
      <c r="C470"/>
      <c r="D470"/>
      <c r="E470"/>
    </row>
    <row r="471" spans="1:5" x14ac:dyDescent="0.2">
      <c r="A471"/>
      <c r="B471"/>
      <c r="C471"/>
      <c r="D471"/>
      <c r="E471"/>
    </row>
    <row r="472" spans="1:5" x14ac:dyDescent="0.2">
      <c r="A472"/>
      <c r="B472"/>
      <c r="C472"/>
      <c r="D472"/>
      <c r="E472"/>
    </row>
    <row r="473" spans="1:5" x14ac:dyDescent="0.2">
      <c r="A473"/>
      <c r="B473"/>
      <c r="C473"/>
      <c r="D473"/>
      <c r="E473"/>
    </row>
    <row r="474" spans="1:5" x14ac:dyDescent="0.2">
      <c r="A474"/>
      <c r="B474"/>
      <c r="C474"/>
      <c r="D474"/>
      <c r="E474"/>
    </row>
    <row r="475" spans="1:5" x14ac:dyDescent="0.2">
      <c r="A475"/>
      <c r="B475"/>
      <c r="C475"/>
      <c r="D475"/>
      <c r="E475"/>
    </row>
    <row r="476" spans="1:5" x14ac:dyDescent="0.2">
      <c r="A476"/>
      <c r="B476"/>
      <c r="C476"/>
      <c r="D476"/>
      <c r="E476"/>
    </row>
    <row r="477" spans="1:5" x14ac:dyDescent="0.2">
      <c r="A477"/>
      <c r="B477"/>
      <c r="C477"/>
      <c r="D477"/>
      <c r="E477"/>
    </row>
    <row r="478" spans="1:5" x14ac:dyDescent="0.2">
      <c r="A478"/>
      <c r="B478"/>
      <c r="C478"/>
      <c r="D478"/>
      <c r="E478"/>
    </row>
    <row r="479" spans="1:5" x14ac:dyDescent="0.2">
      <c r="A479"/>
      <c r="B479"/>
      <c r="C479"/>
      <c r="D479"/>
      <c r="E479"/>
    </row>
    <row r="480" spans="1:5" x14ac:dyDescent="0.2">
      <c r="A480"/>
      <c r="B480"/>
      <c r="C480"/>
      <c r="D480"/>
      <c r="E480"/>
    </row>
    <row r="481" spans="1:5" x14ac:dyDescent="0.2">
      <c r="A481"/>
      <c r="B481"/>
      <c r="C481"/>
      <c r="D481"/>
      <c r="E481"/>
    </row>
    <row r="482" spans="1:5" x14ac:dyDescent="0.2">
      <c r="A482"/>
      <c r="B482"/>
      <c r="C482"/>
      <c r="D482"/>
      <c r="E482"/>
    </row>
    <row r="483" spans="1:5" x14ac:dyDescent="0.2">
      <c r="A483"/>
      <c r="B483"/>
      <c r="C483"/>
      <c r="D483"/>
      <c r="E483"/>
    </row>
    <row r="484" spans="1:5" x14ac:dyDescent="0.2">
      <c r="A484"/>
      <c r="B484"/>
      <c r="C484"/>
      <c r="D484"/>
      <c r="E484"/>
    </row>
    <row r="485" spans="1:5" x14ac:dyDescent="0.2">
      <c r="A485"/>
      <c r="B485"/>
      <c r="C485"/>
      <c r="D485"/>
      <c r="E485"/>
    </row>
    <row r="486" spans="1:5" x14ac:dyDescent="0.2">
      <c r="A486"/>
      <c r="B486"/>
      <c r="C486"/>
      <c r="D486"/>
      <c r="E486"/>
    </row>
    <row r="487" spans="1:5" x14ac:dyDescent="0.2">
      <c r="A487"/>
      <c r="B487"/>
      <c r="C487"/>
      <c r="D487"/>
      <c r="E487"/>
    </row>
    <row r="488" spans="1:5" x14ac:dyDescent="0.2">
      <c r="A488"/>
      <c r="B488"/>
      <c r="C488"/>
      <c r="D488"/>
      <c r="E488"/>
    </row>
    <row r="489" spans="1:5" x14ac:dyDescent="0.2">
      <c r="A489"/>
      <c r="B489"/>
      <c r="C489"/>
      <c r="D489"/>
      <c r="E489"/>
    </row>
    <row r="490" spans="1:5" x14ac:dyDescent="0.2">
      <c r="A490"/>
      <c r="B490"/>
      <c r="C490"/>
      <c r="D490"/>
      <c r="E490"/>
    </row>
    <row r="491" spans="1:5" x14ac:dyDescent="0.2">
      <c r="A491"/>
      <c r="B491"/>
      <c r="C491"/>
      <c r="D491"/>
      <c r="E491"/>
    </row>
    <row r="492" spans="1:5" x14ac:dyDescent="0.2">
      <c r="A492"/>
      <c r="B492"/>
      <c r="C492"/>
      <c r="D492"/>
      <c r="E492"/>
    </row>
    <row r="493" spans="1:5" x14ac:dyDescent="0.2">
      <c r="A493"/>
      <c r="B493"/>
      <c r="C493"/>
      <c r="D493"/>
      <c r="E493"/>
    </row>
    <row r="494" spans="1:5" x14ac:dyDescent="0.2">
      <c r="A494"/>
      <c r="B494"/>
      <c r="C494"/>
      <c r="D494"/>
      <c r="E494"/>
    </row>
    <row r="495" spans="1:5" x14ac:dyDescent="0.2">
      <c r="A495"/>
      <c r="B495"/>
      <c r="C495"/>
      <c r="D495"/>
      <c r="E495"/>
    </row>
    <row r="496" spans="1:5" x14ac:dyDescent="0.2">
      <c r="A496"/>
      <c r="B496"/>
      <c r="C496"/>
      <c r="D496"/>
      <c r="E496"/>
    </row>
    <row r="497" spans="1:5" x14ac:dyDescent="0.2">
      <c r="A497"/>
      <c r="B497"/>
      <c r="C497"/>
      <c r="D497"/>
      <c r="E497"/>
    </row>
    <row r="498" spans="1:5" x14ac:dyDescent="0.2">
      <c r="A498"/>
      <c r="B498"/>
      <c r="C498"/>
      <c r="D498"/>
      <c r="E498"/>
    </row>
    <row r="499" spans="1:5" x14ac:dyDescent="0.2">
      <c r="A499"/>
      <c r="B499"/>
      <c r="C499"/>
      <c r="D499"/>
      <c r="E499"/>
    </row>
    <row r="500" spans="1:5" x14ac:dyDescent="0.2">
      <c r="A500"/>
      <c r="B500"/>
      <c r="C500"/>
      <c r="D500"/>
      <c r="E500"/>
    </row>
    <row r="501" spans="1:5" x14ac:dyDescent="0.2">
      <c r="A501"/>
      <c r="B501"/>
      <c r="C501"/>
      <c r="D501"/>
      <c r="E501"/>
    </row>
    <row r="502" spans="1:5" x14ac:dyDescent="0.2">
      <c r="A502"/>
      <c r="B502"/>
      <c r="C502"/>
      <c r="D502"/>
      <c r="E502"/>
    </row>
    <row r="503" spans="1:5" x14ac:dyDescent="0.2">
      <c r="A503"/>
      <c r="B503"/>
      <c r="C503"/>
      <c r="D503"/>
      <c r="E503"/>
    </row>
    <row r="504" spans="1:5" x14ac:dyDescent="0.2">
      <c r="A504"/>
      <c r="B504"/>
      <c r="C504"/>
      <c r="D504"/>
      <c r="E504"/>
    </row>
    <row r="505" spans="1:5" x14ac:dyDescent="0.2">
      <c r="A505"/>
      <c r="B505"/>
      <c r="C505"/>
      <c r="D505"/>
      <c r="E505"/>
    </row>
    <row r="506" spans="1:5" x14ac:dyDescent="0.2">
      <c r="A506"/>
      <c r="B506"/>
      <c r="C506"/>
      <c r="D506"/>
      <c r="E506"/>
    </row>
    <row r="507" spans="1:5" x14ac:dyDescent="0.2">
      <c r="A507"/>
      <c r="B507"/>
      <c r="C507"/>
      <c r="D507"/>
      <c r="E507"/>
    </row>
    <row r="508" spans="1:5" x14ac:dyDescent="0.2">
      <c r="A508"/>
      <c r="B508"/>
      <c r="C508"/>
      <c r="D508"/>
      <c r="E508"/>
    </row>
    <row r="509" spans="1:5" x14ac:dyDescent="0.2">
      <c r="A509"/>
      <c r="B509"/>
      <c r="C509"/>
      <c r="D509"/>
      <c r="E509"/>
    </row>
    <row r="510" spans="1:5" x14ac:dyDescent="0.2">
      <c r="A510"/>
      <c r="B510"/>
      <c r="C510"/>
      <c r="D510"/>
      <c r="E510"/>
    </row>
    <row r="511" spans="1:5" x14ac:dyDescent="0.2">
      <c r="A511"/>
      <c r="B511"/>
      <c r="C511"/>
      <c r="D511"/>
      <c r="E511"/>
    </row>
    <row r="512" spans="1:5" x14ac:dyDescent="0.2">
      <c r="A512"/>
      <c r="B512"/>
      <c r="C512"/>
      <c r="D512"/>
      <c r="E512"/>
    </row>
    <row r="513" spans="1:5" x14ac:dyDescent="0.2">
      <c r="A513"/>
      <c r="B513"/>
      <c r="C513"/>
      <c r="D513"/>
      <c r="E513"/>
    </row>
    <row r="514" spans="1:5" x14ac:dyDescent="0.2">
      <c r="A514"/>
      <c r="B514"/>
      <c r="C514"/>
      <c r="D514"/>
      <c r="E514"/>
    </row>
    <row r="515" spans="1:5" x14ac:dyDescent="0.2">
      <c r="A515"/>
      <c r="B515"/>
      <c r="C515"/>
      <c r="D515"/>
      <c r="E515"/>
    </row>
    <row r="516" spans="1:5" x14ac:dyDescent="0.2">
      <c r="A516"/>
      <c r="B516"/>
      <c r="C516"/>
      <c r="D516"/>
      <c r="E516"/>
    </row>
    <row r="517" spans="1:5" x14ac:dyDescent="0.2">
      <c r="A517"/>
      <c r="B517"/>
      <c r="C517"/>
      <c r="D517"/>
      <c r="E517"/>
    </row>
    <row r="518" spans="1:5" x14ac:dyDescent="0.2">
      <c r="A518"/>
      <c r="B518"/>
      <c r="C518"/>
      <c r="D518"/>
      <c r="E518"/>
    </row>
    <row r="519" spans="1:5" x14ac:dyDescent="0.2">
      <c r="A519"/>
      <c r="B519"/>
      <c r="C519"/>
      <c r="D519"/>
      <c r="E519"/>
    </row>
    <row r="520" spans="1:5" x14ac:dyDescent="0.2">
      <c r="A520"/>
      <c r="B520"/>
      <c r="C520"/>
      <c r="D520"/>
      <c r="E520"/>
    </row>
    <row r="521" spans="1:5" x14ac:dyDescent="0.2">
      <c r="A521"/>
      <c r="B521"/>
      <c r="C521"/>
      <c r="D521"/>
      <c r="E521"/>
    </row>
    <row r="522" spans="1:5" x14ac:dyDescent="0.2">
      <c r="A522"/>
      <c r="B522"/>
      <c r="C522"/>
      <c r="D522"/>
      <c r="E522"/>
    </row>
    <row r="523" spans="1:5" x14ac:dyDescent="0.2">
      <c r="A523"/>
      <c r="B523"/>
      <c r="C523"/>
      <c r="D523"/>
      <c r="E523"/>
    </row>
    <row r="524" spans="1:5" x14ac:dyDescent="0.2">
      <c r="A524"/>
      <c r="B524"/>
      <c r="C524"/>
      <c r="D524"/>
      <c r="E524"/>
    </row>
    <row r="525" spans="1:5" x14ac:dyDescent="0.2">
      <c r="A525"/>
      <c r="B525"/>
      <c r="C525"/>
      <c r="D525"/>
      <c r="E525"/>
    </row>
    <row r="526" spans="1:5" x14ac:dyDescent="0.2">
      <c r="A526"/>
      <c r="B526"/>
      <c r="C526"/>
      <c r="D526"/>
      <c r="E526"/>
    </row>
    <row r="527" spans="1:5" x14ac:dyDescent="0.2">
      <c r="A527"/>
      <c r="B527"/>
      <c r="C527"/>
      <c r="D527"/>
      <c r="E527"/>
    </row>
    <row r="528" spans="1:5" x14ac:dyDescent="0.2">
      <c r="A528"/>
      <c r="B528"/>
      <c r="C528"/>
      <c r="D528"/>
      <c r="E528"/>
    </row>
    <row r="529" spans="1:5" x14ac:dyDescent="0.2">
      <c r="A529"/>
      <c r="B529"/>
      <c r="C529"/>
      <c r="D529"/>
      <c r="E529"/>
    </row>
    <row r="530" spans="1:5" x14ac:dyDescent="0.2">
      <c r="A530"/>
      <c r="B530"/>
      <c r="C530"/>
      <c r="D530"/>
      <c r="E530"/>
    </row>
    <row r="531" spans="1:5" x14ac:dyDescent="0.2">
      <c r="A531"/>
      <c r="B531"/>
      <c r="C531"/>
      <c r="D531"/>
      <c r="E531"/>
    </row>
    <row r="532" spans="1:5" x14ac:dyDescent="0.2">
      <c r="A532"/>
      <c r="B532"/>
      <c r="C532"/>
      <c r="D532"/>
      <c r="E532"/>
    </row>
    <row r="533" spans="1:5" x14ac:dyDescent="0.2">
      <c r="A533"/>
      <c r="B533"/>
      <c r="C533"/>
      <c r="D533"/>
      <c r="E533"/>
    </row>
    <row r="534" spans="1:5" x14ac:dyDescent="0.2">
      <c r="A534"/>
      <c r="B534"/>
      <c r="C534"/>
      <c r="D534"/>
      <c r="E534"/>
    </row>
    <row r="535" spans="1:5" x14ac:dyDescent="0.2">
      <c r="A535"/>
      <c r="B535"/>
      <c r="C535"/>
      <c r="D535"/>
      <c r="E535"/>
    </row>
    <row r="536" spans="1:5" x14ac:dyDescent="0.2">
      <c r="A536"/>
      <c r="B536"/>
      <c r="C536"/>
      <c r="D536"/>
      <c r="E536"/>
    </row>
    <row r="537" spans="1:5" x14ac:dyDescent="0.2">
      <c r="A537"/>
      <c r="B537"/>
      <c r="C537"/>
      <c r="D537"/>
      <c r="E537"/>
    </row>
    <row r="538" spans="1:5" x14ac:dyDescent="0.2">
      <c r="A538"/>
      <c r="B538"/>
      <c r="C538"/>
      <c r="D538"/>
      <c r="E538"/>
    </row>
    <row r="539" spans="1:5" x14ac:dyDescent="0.2">
      <c r="A539"/>
      <c r="B539"/>
      <c r="C539"/>
      <c r="D539"/>
      <c r="E539"/>
    </row>
    <row r="540" spans="1:5" x14ac:dyDescent="0.2">
      <c r="A540"/>
      <c r="B540"/>
      <c r="C540"/>
      <c r="D540"/>
      <c r="E540"/>
    </row>
    <row r="541" spans="1:5" x14ac:dyDescent="0.2">
      <c r="A541"/>
      <c r="B541"/>
      <c r="C541"/>
      <c r="D541"/>
      <c r="E541"/>
    </row>
    <row r="542" spans="1:5" x14ac:dyDescent="0.2">
      <c r="A542"/>
      <c r="B542"/>
      <c r="C542"/>
      <c r="D542"/>
      <c r="E542"/>
    </row>
    <row r="543" spans="1:5" x14ac:dyDescent="0.2">
      <c r="A543"/>
      <c r="B543"/>
      <c r="C543"/>
      <c r="D543"/>
      <c r="E543"/>
    </row>
    <row r="544" spans="1:5" x14ac:dyDescent="0.2">
      <c r="A544"/>
      <c r="B544"/>
      <c r="C544"/>
      <c r="D544"/>
      <c r="E544"/>
    </row>
    <row r="545" spans="1:5" x14ac:dyDescent="0.2">
      <c r="A545"/>
      <c r="B545"/>
      <c r="C545"/>
      <c r="D545"/>
      <c r="E545"/>
    </row>
    <row r="546" spans="1:5" x14ac:dyDescent="0.2">
      <c r="A546"/>
      <c r="B546"/>
      <c r="C546"/>
      <c r="D546"/>
      <c r="E546"/>
    </row>
    <row r="547" spans="1:5" x14ac:dyDescent="0.2">
      <c r="A547"/>
      <c r="B547"/>
      <c r="C547"/>
      <c r="D547"/>
      <c r="E547"/>
    </row>
    <row r="548" spans="1:5" x14ac:dyDescent="0.2">
      <c r="A548"/>
      <c r="B548"/>
      <c r="C548"/>
      <c r="D548"/>
      <c r="E548"/>
    </row>
    <row r="549" spans="1:5" x14ac:dyDescent="0.2">
      <c r="A549"/>
      <c r="B549"/>
      <c r="C549"/>
      <c r="D549"/>
      <c r="E549"/>
    </row>
    <row r="550" spans="1:5" x14ac:dyDescent="0.2">
      <c r="A550"/>
      <c r="B550"/>
      <c r="C550"/>
      <c r="D550"/>
      <c r="E550"/>
    </row>
    <row r="551" spans="1:5" x14ac:dyDescent="0.2">
      <c r="A551"/>
      <c r="B551"/>
      <c r="C551"/>
      <c r="D551"/>
      <c r="E551"/>
    </row>
    <row r="552" spans="1:5" x14ac:dyDescent="0.2">
      <c r="A552"/>
      <c r="B552"/>
      <c r="C552"/>
      <c r="D552"/>
      <c r="E552"/>
    </row>
    <row r="553" spans="1:5" x14ac:dyDescent="0.2">
      <c r="A553"/>
      <c r="B553"/>
      <c r="C553"/>
      <c r="D553"/>
      <c r="E553"/>
    </row>
    <row r="554" spans="1:5" x14ac:dyDescent="0.2">
      <c r="A554"/>
      <c r="B554"/>
      <c r="C554"/>
      <c r="D554"/>
      <c r="E554"/>
    </row>
    <row r="555" spans="1:5" x14ac:dyDescent="0.2">
      <c r="A555"/>
      <c r="B555"/>
      <c r="C555"/>
      <c r="D555"/>
      <c r="E555"/>
    </row>
    <row r="556" spans="1:5" x14ac:dyDescent="0.2">
      <c r="A556"/>
      <c r="B556"/>
      <c r="C556"/>
      <c r="D556"/>
      <c r="E556"/>
    </row>
    <row r="557" spans="1:5" x14ac:dyDescent="0.2">
      <c r="A557"/>
      <c r="B557"/>
      <c r="C557"/>
      <c r="D557"/>
      <c r="E557"/>
    </row>
    <row r="558" spans="1:5" x14ac:dyDescent="0.2">
      <c r="A558"/>
      <c r="B558"/>
      <c r="C558"/>
      <c r="D558"/>
      <c r="E558"/>
    </row>
    <row r="559" spans="1:5" x14ac:dyDescent="0.2">
      <c r="A559"/>
      <c r="B559"/>
      <c r="C559"/>
      <c r="D559"/>
      <c r="E559"/>
    </row>
    <row r="560" spans="1:5" x14ac:dyDescent="0.2">
      <c r="A560"/>
      <c r="B560"/>
      <c r="C560"/>
      <c r="D560"/>
      <c r="E560"/>
    </row>
    <row r="561" spans="1:5" x14ac:dyDescent="0.2">
      <c r="A561"/>
      <c r="B561"/>
      <c r="C561"/>
      <c r="D561"/>
      <c r="E561"/>
    </row>
    <row r="562" spans="1:5" x14ac:dyDescent="0.2">
      <c r="A562"/>
      <c r="B562"/>
      <c r="C562"/>
      <c r="D562"/>
      <c r="E562"/>
    </row>
    <row r="563" spans="1:5" x14ac:dyDescent="0.2">
      <c r="A563"/>
      <c r="B563"/>
      <c r="C563"/>
      <c r="D563"/>
      <c r="E563"/>
    </row>
    <row r="564" spans="1:5" x14ac:dyDescent="0.2">
      <c r="A564"/>
      <c r="B564"/>
      <c r="C564"/>
      <c r="D564"/>
      <c r="E564"/>
    </row>
    <row r="565" spans="1:5" x14ac:dyDescent="0.2">
      <c r="A565"/>
      <c r="B565"/>
      <c r="C565"/>
      <c r="D565"/>
      <c r="E565"/>
    </row>
    <row r="566" spans="1:5" x14ac:dyDescent="0.2">
      <c r="A566"/>
      <c r="B566"/>
      <c r="C566"/>
      <c r="D566"/>
      <c r="E566"/>
    </row>
    <row r="567" spans="1:5" x14ac:dyDescent="0.2">
      <c r="A567"/>
      <c r="B567"/>
      <c r="C567"/>
      <c r="D567"/>
      <c r="E567"/>
    </row>
    <row r="568" spans="1:5" x14ac:dyDescent="0.2">
      <c r="A568"/>
      <c r="B568"/>
      <c r="C568"/>
      <c r="D568"/>
      <c r="E568"/>
    </row>
    <row r="569" spans="1:5" x14ac:dyDescent="0.2">
      <c r="A569"/>
      <c r="B569"/>
      <c r="C569"/>
      <c r="D569"/>
      <c r="E569"/>
    </row>
    <row r="570" spans="1:5" x14ac:dyDescent="0.2">
      <c r="A570"/>
      <c r="B570"/>
      <c r="C570"/>
      <c r="D570"/>
      <c r="E570"/>
    </row>
    <row r="571" spans="1:5" x14ac:dyDescent="0.2">
      <c r="A571"/>
      <c r="B571"/>
      <c r="C571"/>
      <c r="D571"/>
      <c r="E571"/>
    </row>
    <row r="572" spans="1:5" x14ac:dyDescent="0.2">
      <c r="A572"/>
      <c r="B572"/>
      <c r="C572"/>
      <c r="D572"/>
      <c r="E572"/>
    </row>
    <row r="573" spans="1:5" x14ac:dyDescent="0.2">
      <c r="A573"/>
      <c r="B573"/>
      <c r="C573"/>
      <c r="D573"/>
      <c r="E573"/>
    </row>
    <row r="574" spans="1:5" x14ac:dyDescent="0.2">
      <c r="A574"/>
      <c r="B574"/>
      <c r="C574"/>
      <c r="D574"/>
      <c r="E574"/>
    </row>
    <row r="575" spans="1:5" x14ac:dyDescent="0.2">
      <c r="A575"/>
      <c r="B575"/>
      <c r="C575"/>
      <c r="D575"/>
      <c r="E575"/>
    </row>
    <row r="576" spans="1:5" x14ac:dyDescent="0.2">
      <c r="A576"/>
      <c r="B576"/>
      <c r="C576"/>
      <c r="D576"/>
      <c r="E576"/>
    </row>
    <row r="577" spans="1:5" x14ac:dyDescent="0.2">
      <c r="A577"/>
      <c r="B577"/>
      <c r="C577"/>
      <c r="D577"/>
      <c r="E577"/>
    </row>
    <row r="578" spans="1:5" x14ac:dyDescent="0.2">
      <c r="A578"/>
      <c r="B578"/>
      <c r="C578"/>
      <c r="D578"/>
      <c r="E578"/>
    </row>
    <row r="579" spans="1:5" x14ac:dyDescent="0.2">
      <c r="A579"/>
      <c r="B579"/>
      <c r="C579"/>
      <c r="D579"/>
      <c r="E579"/>
    </row>
    <row r="580" spans="1:5" x14ac:dyDescent="0.2">
      <c r="A580"/>
      <c r="B580"/>
      <c r="C580"/>
      <c r="D580"/>
      <c r="E580"/>
    </row>
    <row r="581" spans="1:5" x14ac:dyDescent="0.2">
      <c r="A581"/>
      <c r="B581"/>
      <c r="C581"/>
      <c r="D581"/>
      <c r="E581"/>
    </row>
    <row r="582" spans="1:5" x14ac:dyDescent="0.2">
      <c r="A582"/>
      <c r="B582"/>
      <c r="C582"/>
      <c r="D582"/>
      <c r="E582"/>
    </row>
    <row r="583" spans="1:5" x14ac:dyDescent="0.2">
      <c r="A583"/>
      <c r="B583"/>
      <c r="C583"/>
      <c r="D583"/>
      <c r="E583"/>
    </row>
    <row r="584" spans="1:5" x14ac:dyDescent="0.2">
      <c r="A584"/>
      <c r="B584"/>
      <c r="C584"/>
      <c r="D584"/>
      <c r="E584"/>
    </row>
    <row r="585" spans="1:5" x14ac:dyDescent="0.2">
      <c r="A585"/>
      <c r="B585"/>
      <c r="C585"/>
      <c r="D585"/>
      <c r="E585"/>
    </row>
    <row r="586" spans="1:5" x14ac:dyDescent="0.2">
      <c r="A586"/>
      <c r="B586"/>
      <c r="C586"/>
      <c r="D586"/>
      <c r="E586"/>
    </row>
    <row r="587" spans="1:5" x14ac:dyDescent="0.2">
      <c r="A587"/>
      <c r="B587"/>
      <c r="C587"/>
      <c r="D587"/>
      <c r="E587"/>
    </row>
    <row r="588" spans="1:5" x14ac:dyDescent="0.2">
      <c r="A588"/>
      <c r="B588"/>
      <c r="C588"/>
      <c r="D588"/>
      <c r="E588"/>
    </row>
    <row r="589" spans="1:5" x14ac:dyDescent="0.2">
      <c r="A589"/>
      <c r="B589"/>
      <c r="C589"/>
      <c r="D589"/>
      <c r="E589"/>
    </row>
    <row r="590" spans="1:5" x14ac:dyDescent="0.2">
      <c r="A590"/>
      <c r="B590"/>
      <c r="C590"/>
      <c r="D590"/>
      <c r="E590"/>
    </row>
    <row r="591" spans="1:5" x14ac:dyDescent="0.2">
      <c r="A591"/>
      <c r="B591"/>
      <c r="C591"/>
      <c r="D591"/>
      <c r="E591"/>
    </row>
    <row r="592" spans="1:5" x14ac:dyDescent="0.2">
      <c r="A592"/>
      <c r="B592"/>
      <c r="C592"/>
      <c r="D592"/>
      <c r="E592"/>
    </row>
    <row r="593" spans="1:5" x14ac:dyDescent="0.2">
      <c r="A593"/>
      <c r="B593"/>
      <c r="C593"/>
      <c r="D593"/>
      <c r="E593"/>
    </row>
    <row r="594" spans="1:5" x14ac:dyDescent="0.2">
      <c r="A594"/>
      <c r="B594"/>
      <c r="C594"/>
      <c r="D594"/>
      <c r="E594"/>
    </row>
    <row r="595" spans="1:5" x14ac:dyDescent="0.2">
      <c r="A595"/>
      <c r="B595"/>
      <c r="C595"/>
      <c r="D595"/>
      <c r="E595"/>
    </row>
    <row r="596" spans="1:5" x14ac:dyDescent="0.2">
      <c r="A596"/>
      <c r="B596"/>
      <c r="C596"/>
      <c r="D596"/>
      <c r="E596"/>
    </row>
    <row r="597" spans="1:5" x14ac:dyDescent="0.2">
      <c r="A597"/>
      <c r="B597"/>
      <c r="C597"/>
      <c r="D597"/>
      <c r="E597"/>
    </row>
    <row r="598" spans="1:5" x14ac:dyDescent="0.2">
      <c r="A598"/>
      <c r="B598"/>
      <c r="C598"/>
      <c r="D598"/>
      <c r="E598"/>
    </row>
    <row r="599" spans="1:5" x14ac:dyDescent="0.2">
      <c r="A599"/>
      <c r="B599"/>
      <c r="C599"/>
      <c r="D599"/>
      <c r="E599"/>
    </row>
    <row r="600" spans="1:5" x14ac:dyDescent="0.2">
      <c r="A600"/>
      <c r="B600"/>
      <c r="C600"/>
      <c r="D600"/>
      <c r="E600"/>
    </row>
    <row r="601" spans="1:5" x14ac:dyDescent="0.2">
      <c r="A601"/>
      <c r="B601"/>
      <c r="C601"/>
      <c r="D601"/>
      <c r="E601"/>
    </row>
    <row r="602" spans="1:5" x14ac:dyDescent="0.2">
      <c r="A602"/>
      <c r="B602"/>
      <c r="C602"/>
      <c r="D602"/>
      <c r="E602"/>
    </row>
    <row r="603" spans="1:5" x14ac:dyDescent="0.2">
      <c r="A603"/>
      <c r="B603"/>
      <c r="C603"/>
      <c r="D603"/>
      <c r="E603"/>
    </row>
    <row r="604" spans="1:5" x14ac:dyDescent="0.2">
      <c r="A604"/>
      <c r="B604"/>
      <c r="C604"/>
      <c r="D604"/>
      <c r="E604"/>
    </row>
    <row r="605" spans="1:5" x14ac:dyDescent="0.2">
      <c r="A605"/>
      <c r="B605"/>
      <c r="C605"/>
      <c r="D605"/>
      <c r="E605"/>
    </row>
    <row r="606" spans="1:5" x14ac:dyDescent="0.2">
      <c r="A606"/>
      <c r="B606"/>
      <c r="C606"/>
      <c r="D606"/>
      <c r="E606"/>
    </row>
    <row r="607" spans="1:5" x14ac:dyDescent="0.2">
      <c r="A607"/>
      <c r="B607"/>
      <c r="C607"/>
      <c r="D607"/>
      <c r="E607"/>
    </row>
    <row r="608" spans="1:5" x14ac:dyDescent="0.2">
      <c r="A608"/>
      <c r="B608"/>
      <c r="C608"/>
      <c r="D608"/>
      <c r="E608"/>
    </row>
    <row r="609" spans="1:5" x14ac:dyDescent="0.2">
      <c r="A609"/>
      <c r="B609"/>
      <c r="C609"/>
      <c r="D609"/>
      <c r="E609"/>
    </row>
    <row r="610" spans="1:5" x14ac:dyDescent="0.2">
      <c r="A610"/>
      <c r="B610"/>
      <c r="C610"/>
      <c r="D610"/>
      <c r="E610"/>
    </row>
    <row r="611" spans="1:5" x14ac:dyDescent="0.2">
      <c r="A611"/>
      <c r="B611"/>
      <c r="C611"/>
      <c r="D611"/>
      <c r="E611"/>
    </row>
    <row r="612" spans="1:5" x14ac:dyDescent="0.2">
      <c r="A612"/>
      <c r="B612"/>
      <c r="C612"/>
      <c r="D612"/>
      <c r="E612"/>
    </row>
    <row r="613" spans="1:5" x14ac:dyDescent="0.2">
      <c r="A613"/>
      <c r="B613"/>
      <c r="C613"/>
      <c r="D613"/>
      <c r="E613"/>
    </row>
    <row r="614" spans="1:5" x14ac:dyDescent="0.2">
      <c r="A614"/>
      <c r="B614"/>
      <c r="C614"/>
      <c r="D614"/>
      <c r="E614"/>
    </row>
    <row r="615" spans="1:5" x14ac:dyDescent="0.2">
      <c r="A615"/>
      <c r="B615"/>
      <c r="C615"/>
      <c r="D615"/>
      <c r="E615"/>
    </row>
    <row r="616" spans="1:5" x14ac:dyDescent="0.2">
      <c r="A616"/>
      <c r="B616"/>
      <c r="C616"/>
      <c r="D616"/>
      <c r="E616"/>
    </row>
    <row r="617" spans="1:5" x14ac:dyDescent="0.2">
      <c r="A617"/>
      <c r="B617"/>
      <c r="C617"/>
      <c r="D617"/>
      <c r="E617"/>
    </row>
    <row r="618" spans="1:5" x14ac:dyDescent="0.2">
      <c r="A618"/>
      <c r="B618"/>
      <c r="C618"/>
      <c r="D618"/>
      <c r="E618"/>
    </row>
    <row r="619" spans="1:5" x14ac:dyDescent="0.2">
      <c r="A619"/>
      <c r="B619"/>
      <c r="C619"/>
      <c r="D619"/>
      <c r="E619"/>
    </row>
    <row r="620" spans="1:5" x14ac:dyDescent="0.2">
      <c r="A620"/>
      <c r="B620"/>
      <c r="C620"/>
      <c r="D620"/>
      <c r="E620"/>
    </row>
    <row r="621" spans="1:5" x14ac:dyDescent="0.2">
      <c r="A621"/>
      <c r="B621"/>
      <c r="C621"/>
      <c r="D621"/>
      <c r="E621"/>
    </row>
    <row r="622" spans="1:5" x14ac:dyDescent="0.2">
      <c r="A622"/>
      <c r="B622"/>
      <c r="C622"/>
      <c r="D622"/>
      <c r="E622"/>
    </row>
    <row r="623" spans="1:5" x14ac:dyDescent="0.2">
      <c r="A623"/>
      <c r="B623"/>
      <c r="C623"/>
      <c r="D623"/>
      <c r="E623"/>
    </row>
    <row r="624" spans="1:5" x14ac:dyDescent="0.2">
      <c r="A624"/>
      <c r="B624"/>
      <c r="C624"/>
      <c r="D624"/>
      <c r="E624"/>
    </row>
    <row r="625" spans="1:5" x14ac:dyDescent="0.2">
      <c r="A625"/>
      <c r="B625"/>
      <c r="C625"/>
      <c r="D625"/>
      <c r="E625"/>
    </row>
    <row r="626" spans="1:5" x14ac:dyDescent="0.2">
      <c r="A626"/>
      <c r="B626"/>
      <c r="C626"/>
      <c r="D626"/>
      <c r="E626"/>
    </row>
    <row r="627" spans="1:5" x14ac:dyDescent="0.2">
      <c r="A627"/>
      <c r="B627"/>
      <c r="C627"/>
      <c r="D627"/>
      <c r="E627"/>
    </row>
    <row r="628" spans="1:5" x14ac:dyDescent="0.2">
      <c r="A628"/>
      <c r="B628"/>
      <c r="C628"/>
      <c r="D628"/>
      <c r="E628"/>
    </row>
    <row r="629" spans="1:5" x14ac:dyDescent="0.2">
      <c r="A629"/>
      <c r="B629"/>
      <c r="C629"/>
      <c r="D629"/>
      <c r="E629"/>
    </row>
    <row r="630" spans="1:5" x14ac:dyDescent="0.2">
      <c r="A630"/>
      <c r="B630"/>
      <c r="C630"/>
      <c r="D630"/>
      <c r="E630"/>
    </row>
    <row r="631" spans="1:5" x14ac:dyDescent="0.2">
      <c r="A631"/>
      <c r="B631"/>
      <c r="C631"/>
      <c r="D631"/>
      <c r="E631"/>
    </row>
    <row r="632" spans="1:5" x14ac:dyDescent="0.2">
      <c r="A632"/>
      <c r="B632"/>
      <c r="C632"/>
      <c r="D632"/>
      <c r="E632"/>
    </row>
    <row r="633" spans="1:5" x14ac:dyDescent="0.2">
      <c r="A633"/>
      <c r="B633"/>
      <c r="C633"/>
      <c r="D633"/>
      <c r="E633"/>
    </row>
    <row r="634" spans="1:5" x14ac:dyDescent="0.2">
      <c r="A634"/>
      <c r="B634"/>
      <c r="C634"/>
      <c r="D634"/>
      <c r="E634"/>
    </row>
    <row r="635" spans="1:5" x14ac:dyDescent="0.2">
      <c r="A635"/>
      <c r="B635"/>
      <c r="C635"/>
      <c r="D635"/>
      <c r="E635"/>
    </row>
    <row r="636" spans="1:5" x14ac:dyDescent="0.2">
      <c r="A636"/>
      <c r="B636"/>
      <c r="C636"/>
      <c r="D636"/>
      <c r="E636"/>
    </row>
    <row r="637" spans="1:5" x14ac:dyDescent="0.2">
      <c r="A637"/>
      <c r="B637"/>
      <c r="C637"/>
      <c r="D637"/>
      <c r="E637"/>
    </row>
    <row r="638" spans="1:5" x14ac:dyDescent="0.2">
      <c r="A638"/>
      <c r="B638"/>
      <c r="C638"/>
      <c r="D638"/>
      <c r="E638"/>
    </row>
    <row r="639" spans="1:5" x14ac:dyDescent="0.2">
      <c r="A639"/>
      <c r="B639"/>
      <c r="C639"/>
      <c r="D639"/>
      <c r="E639"/>
    </row>
    <row r="640" spans="1:5" x14ac:dyDescent="0.2">
      <c r="A640"/>
      <c r="B640"/>
      <c r="C640"/>
      <c r="D640"/>
      <c r="E640"/>
    </row>
    <row r="641" spans="1:5" x14ac:dyDescent="0.2">
      <c r="A641"/>
      <c r="B641"/>
      <c r="C641"/>
      <c r="D641"/>
      <c r="E641"/>
    </row>
    <row r="642" spans="1:5" x14ac:dyDescent="0.2">
      <c r="A642"/>
      <c r="B642"/>
      <c r="C642"/>
      <c r="D642"/>
      <c r="E642"/>
    </row>
    <row r="643" spans="1:5" x14ac:dyDescent="0.2">
      <c r="A643"/>
      <c r="B643"/>
      <c r="C643"/>
      <c r="D643"/>
      <c r="E643"/>
    </row>
    <row r="644" spans="1:5" x14ac:dyDescent="0.2">
      <c r="A644"/>
      <c r="B644"/>
      <c r="C644"/>
      <c r="D644"/>
      <c r="E644"/>
    </row>
    <row r="645" spans="1:5" x14ac:dyDescent="0.2">
      <c r="A645"/>
      <c r="B645"/>
      <c r="C645"/>
      <c r="D645"/>
      <c r="E645"/>
    </row>
    <row r="646" spans="1:5" x14ac:dyDescent="0.2">
      <c r="A646"/>
      <c r="B646"/>
      <c r="C646"/>
      <c r="D646"/>
      <c r="E646"/>
    </row>
    <row r="647" spans="1:5" x14ac:dyDescent="0.2">
      <c r="A647"/>
      <c r="B647"/>
      <c r="C647"/>
      <c r="D647"/>
      <c r="E647"/>
    </row>
    <row r="648" spans="1:5" x14ac:dyDescent="0.2">
      <c r="A648"/>
      <c r="B648"/>
      <c r="C648"/>
      <c r="D648"/>
      <c r="E648"/>
    </row>
    <row r="649" spans="1:5" x14ac:dyDescent="0.2">
      <c r="A649"/>
      <c r="B649"/>
      <c r="C649"/>
      <c r="D649"/>
      <c r="E649"/>
    </row>
    <row r="650" spans="1:5" x14ac:dyDescent="0.2">
      <c r="A650"/>
      <c r="B650"/>
      <c r="C650"/>
      <c r="D650"/>
      <c r="E650"/>
    </row>
    <row r="651" spans="1:5" x14ac:dyDescent="0.2">
      <c r="A651"/>
      <c r="B651"/>
      <c r="C651"/>
      <c r="D651"/>
      <c r="E651"/>
    </row>
    <row r="652" spans="1:5" x14ac:dyDescent="0.2">
      <c r="A652"/>
      <c r="B652"/>
      <c r="C652"/>
      <c r="D652"/>
      <c r="E652"/>
    </row>
    <row r="653" spans="1:5" x14ac:dyDescent="0.2">
      <c r="A653"/>
      <c r="B653"/>
      <c r="C653"/>
      <c r="D653"/>
      <c r="E653"/>
    </row>
    <row r="654" spans="1:5" x14ac:dyDescent="0.2">
      <c r="A654"/>
      <c r="B654"/>
      <c r="C654"/>
      <c r="D654"/>
      <c r="E654"/>
    </row>
    <row r="655" spans="1:5" x14ac:dyDescent="0.2">
      <c r="A655"/>
      <c r="B655"/>
      <c r="C655"/>
      <c r="D655"/>
      <c r="E655"/>
    </row>
    <row r="656" spans="1:5" x14ac:dyDescent="0.2">
      <c r="A656"/>
      <c r="B656"/>
      <c r="C656"/>
      <c r="D656"/>
      <c r="E656"/>
    </row>
    <row r="657" spans="1:5" x14ac:dyDescent="0.2">
      <c r="A657"/>
      <c r="B657"/>
      <c r="C657"/>
      <c r="D657"/>
      <c r="E657"/>
    </row>
    <row r="658" spans="1:5" x14ac:dyDescent="0.2">
      <c r="A658"/>
      <c r="B658"/>
      <c r="C658"/>
      <c r="D658"/>
      <c r="E658"/>
    </row>
    <row r="659" spans="1:5" x14ac:dyDescent="0.2">
      <c r="A659"/>
      <c r="B659"/>
      <c r="C659"/>
      <c r="D659"/>
      <c r="E659"/>
    </row>
    <row r="660" spans="1:5" x14ac:dyDescent="0.2">
      <c r="A660"/>
      <c r="B660"/>
      <c r="C660"/>
      <c r="D660"/>
      <c r="E660"/>
    </row>
    <row r="661" spans="1:5" x14ac:dyDescent="0.2">
      <c r="A661"/>
      <c r="B661"/>
      <c r="C661"/>
      <c r="D661"/>
      <c r="E661"/>
    </row>
    <row r="662" spans="1:5" x14ac:dyDescent="0.2">
      <c r="A662"/>
      <c r="B662"/>
      <c r="C662"/>
      <c r="D662"/>
      <c r="E662"/>
    </row>
    <row r="663" spans="1:5" x14ac:dyDescent="0.2">
      <c r="A663"/>
      <c r="B663"/>
      <c r="C663"/>
      <c r="D663"/>
      <c r="E663"/>
    </row>
    <row r="664" spans="1:5" x14ac:dyDescent="0.2">
      <c r="A664"/>
      <c r="B664"/>
      <c r="C664"/>
      <c r="D664"/>
      <c r="E664"/>
    </row>
    <row r="665" spans="1:5" x14ac:dyDescent="0.2">
      <c r="A665"/>
      <c r="B665"/>
      <c r="C665"/>
      <c r="D665"/>
      <c r="E665"/>
    </row>
    <row r="666" spans="1:5" x14ac:dyDescent="0.2">
      <c r="A666"/>
      <c r="B666"/>
      <c r="C666"/>
      <c r="D666"/>
      <c r="E666"/>
    </row>
    <row r="667" spans="1:5" x14ac:dyDescent="0.2">
      <c r="A667"/>
      <c r="B667"/>
      <c r="C667"/>
      <c r="D667"/>
      <c r="E667"/>
    </row>
    <row r="668" spans="1:5" x14ac:dyDescent="0.2">
      <c r="A668"/>
      <c r="B668"/>
      <c r="C668"/>
      <c r="D668"/>
      <c r="E668"/>
    </row>
    <row r="669" spans="1:5" x14ac:dyDescent="0.2">
      <c r="A669"/>
      <c r="B669"/>
      <c r="C669"/>
      <c r="D669"/>
      <c r="E669"/>
    </row>
    <row r="670" spans="1:5" x14ac:dyDescent="0.2">
      <c r="A670"/>
      <c r="B670"/>
      <c r="C670"/>
      <c r="D670"/>
      <c r="E670"/>
    </row>
    <row r="671" spans="1:5" x14ac:dyDescent="0.2">
      <c r="A671"/>
      <c r="B671"/>
      <c r="C671"/>
      <c r="D671"/>
      <c r="E671"/>
    </row>
    <row r="672" spans="1:5" x14ac:dyDescent="0.2">
      <c r="A672"/>
      <c r="B672"/>
      <c r="C672"/>
      <c r="D672"/>
      <c r="E672"/>
    </row>
    <row r="673" spans="1:5" x14ac:dyDescent="0.2">
      <c r="A673"/>
      <c r="B673"/>
      <c r="C673"/>
      <c r="D673"/>
      <c r="E673"/>
    </row>
    <row r="674" spans="1:5" x14ac:dyDescent="0.2">
      <c r="A674"/>
      <c r="B674"/>
      <c r="C674"/>
      <c r="D674"/>
      <c r="E674"/>
    </row>
    <row r="675" spans="1:5" x14ac:dyDescent="0.2">
      <c r="A675"/>
      <c r="B675"/>
      <c r="C675"/>
      <c r="D675"/>
      <c r="E675"/>
    </row>
    <row r="676" spans="1:5" x14ac:dyDescent="0.2">
      <c r="A676"/>
      <c r="B676"/>
      <c r="C676"/>
      <c r="D676"/>
      <c r="E676"/>
    </row>
    <row r="677" spans="1:5" x14ac:dyDescent="0.2">
      <c r="A677"/>
      <c r="B677"/>
      <c r="C677"/>
      <c r="D677"/>
      <c r="E677"/>
    </row>
    <row r="678" spans="1:5" x14ac:dyDescent="0.2">
      <c r="A678"/>
      <c r="B678"/>
      <c r="C678"/>
      <c r="D678"/>
      <c r="E678"/>
    </row>
    <row r="679" spans="1:5" x14ac:dyDescent="0.2">
      <c r="A679"/>
      <c r="B679"/>
      <c r="C679"/>
      <c r="D679"/>
      <c r="E679"/>
    </row>
    <row r="680" spans="1:5" x14ac:dyDescent="0.2">
      <c r="A680"/>
      <c r="B680"/>
      <c r="C680"/>
      <c r="D680"/>
      <c r="E680"/>
    </row>
    <row r="681" spans="1:5" x14ac:dyDescent="0.2">
      <c r="A681"/>
      <c r="B681"/>
      <c r="C681"/>
      <c r="D681"/>
      <c r="E681"/>
    </row>
    <row r="682" spans="1:5" x14ac:dyDescent="0.2">
      <c r="A682"/>
      <c r="B682"/>
      <c r="C682"/>
      <c r="D682"/>
      <c r="E682"/>
    </row>
    <row r="683" spans="1:5" x14ac:dyDescent="0.2">
      <c r="A683"/>
      <c r="B683"/>
      <c r="C683"/>
      <c r="D683"/>
      <c r="E683"/>
    </row>
    <row r="684" spans="1:5" x14ac:dyDescent="0.2">
      <c r="A684"/>
      <c r="B684"/>
      <c r="C684"/>
      <c r="D684"/>
      <c r="E684"/>
    </row>
    <row r="685" spans="1:5" x14ac:dyDescent="0.2">
      <c r="A685"/>
      <c r="B685"/>
      <c r="C685"/>
      <c r="D685"/>
      <c r="E685"/>
    </row>
    <row r="686" spans="1:5" x14ac:dyDescent="0.2">
      <c r="A686"/>
      <c r="B686"/>
      <c r="C686"/>
      <c r="D686"/>
      <c r="E686"/>
    </row>
    <row r="687" spans="1:5" x14ac:dyDescent="0.2">
      <c r="A687"/>
      <c r="B687"/>
      <c r="C687"/>
      <c r="D687"/>
      <c r="E687"/>
    </row>
    <row r="688" spans="1:5" x14ac:dyDescent="0.2">
      <c r="A688"/>
      <c r="B688"/>
      <c r="C688"/>
      <c r="D688"/>
      <c r="E688"/>
    </row>
    <row r="689" spans="1:5" x14ac:dyDescent="0.2">
      <c r="A689"/>
      <c r="B689"/>
      <c r="C689"/>
      <c r="D689"/>
      <c r="E689"/>
    </row>
    <row r="690" spans="1:5" x14ac:dyDescent="0.2">
      <c r="A690"/>
      <c r="B690"/>
      <c r="C690"/>
      <c r="D690"/>
      <c r="E690"/>
    </row>
    <row r="691" spans="1:5" x14ac:dyDescent="0.2">
      <c r="A691"/>
      <c r="B691"/>
      <c r="C691"/>
      <c r="D691"/>
      <c r="E691"/>
    </row>
    <row r="692" spans="1:5" x14ac:dyDescent="0.2">
      <c r="A692"/>
      <c r="B692"/>
      <c r="C692"/>
      <c r="D692"/>
      <c r="E692"/>
    </row>
    <row r="693" spans="1:5" x14ac:dyDescent="0.2">
      <c r="A693"/>
      <c r="B693"/>
      <c r="C693"/>
      <c r="D693"/>
      <c r="E693"/>
    </row>
    <row r="694" spans="1:5" x14ac:dyDescent="0.2">
      <c r="A694"/>
      <c r="B694"/>
      <c r="C694"/>
      <c r="D694"/>
      <c r="E694"/>
    </row>
    <row r="695" spans="1:5" x14ac:dyDescent="0.2">
      <c r="A695"/>
      <c r="B695"/>
      <c r="C695"/>
      <c r="D695"/>
      <c r="E695"/>
    </row>
    <row r="696" spans="1:5" x14ac:dyDescent="0.2">
      <c r="A696"/>
      <c r="B696"/>
      <c r="C696"/>
      <c r="D696"/>
      <c r="E696"/>
    </row>
    <row r="697" spans="1:5" x14ac:dyDescent="0.2">
      <c r="A697"/>
      <c r="B697"/>
      <c r="C697"/>
      <c r="D697"/>
      <c r="E697"/>
    </row>
    <row r="698" spans="1:5" x14ac:dyDescent="0.2">
      <c r="A698"/>
      <c r="B698"/>
      <c r="C698"/>
      <c r="D698"/>
      <c r="E698"/>
    </row>
    <row r="699" spans="1:5" x14ac:dyDescent="0.2">
      <c r="A699"/>
      <c r="B699"/>
      <c r="C699"/>
      <c r="D699"/>
      <c r="E699"/>
    </row>
    <row r="700" spans="1:5" x14ac:dyDescent="0.2">
      <c r="A700"/>
      <c r="B700"/>
      <c r="C700"/>
      <c r="D700"/>
      <c r="E700"/>
    </row>
    <row r="701" spans="1:5" x14ac:dyDescent="0.2">
      <c r="A701"/>
      <c r="B701"/>
      <c r="C701"/>
      <c r="D701"/>
      <c r="E701"/>
    </row>
    <row r="702" spans="1:5" x14ac:dyDescent="0.2">
      <c r="A702"/>
      <c r="B702"/>
      <c r="C702"/>
      <c r="D702"/>
      <c r="E702"/>
    </row>
    <row r="703" spans="1:5" x14ac:dyDescent="0.2">
      <c r="A703"/>
      <c r="B703"/>
      <c r="C703"/>
      <c r="D703"/>
      <c r="E703"/>
    </row>
    <row r="704" spans="1:5" x14ac:dyDescent="0.2">
      <c r="A704"/>
      <c r="B704"/>
      <c r="C704"/>
      <c r="D704"/>
      <c r="E704"/>
    </row>
    <row r="705" spans="1:5" x14ac:dyDescent="0.2">
      <c r="A705"/>
      <c r="B705"/>
      <c r="C705"/>
      <c r="D705"/>
      <c r="E705"/>
    </row>
    <row r="706" spans="1:5" x14ac:dyDescent="0.2">
      <c r="A706"/>
      <c r="B706"/>
      <c r="C706"/>
      <c r="D706"/>
      <c r="E706"/>
    </row>
    <row r="707" spans="1:5" x14ac:dyDescent="0.2">
      <c r="A707"/>
      <c r="B707"/>
      <c r="C707"/>
      <c r="D707"/>
      <c r="E707"/>
    </row>
    <row r="708" spans="1:5" x14ac:dyDescent="0.2">
      <c r="A708"/>
      <c r="B708"/>
      <c r="C708"/>
      <c r="D708"/>
      <c r="E708"/>
    </row>
    <row r="709" spans="1:5" x14ac:dyDescent="0.2">
      <c r="A709"/>
      <c r="B709"/>
      <c r="C709"/>
      <c r="D709"/>
      <c r="E709"/>
    </row>
    <row r="710" spans="1:5" x14ac:dyDescent="0.2">
      <c r="A710"/>
      <c r="B710"/>
      <c r="C710"/>
      <c r="D710"/>
      <c r="E710"/>
    </row>
    <row r="711" spans="1:5" x14ac:dyDescent="0.2">
      <c r="A711"/>
      <c r="B711"/>
      <c r="C711"/>
      <c r="D711"/>
      <c r="E711"/>
    </row>
    <row r="712" spans="1:5" x14ac:dyDescent="0.2">
      <c r="A712"/>
      <c r="B712"/>
      <c r="C712"/>
      <c r="D712"/>
      <c r="E712"/>
    </row>
    <row r="713" spans="1:5" x14ac:dyDescent="0.2">
      <c r="A713"/>
      <c r="B713"/>
      <c r="C713"/>
      <c r="D713"/>
      <c r="E713"/>
    </row>
    <row r="714" spans="1:5" x14ac:dyDescent="0.2">
      <c r="A714"/>
      <c r="B714"/>
      <c r="C714"/>
      <c r="D714"/>
      <c r="E714"/>
    </row>
    <row r="715" spans="1:5" x14ac:dyDescent="0.2">
      <c r="A715"/>
      <c r="B715"/>
      <c r="C715"/>
      <c r="D715"/>
      <c r="E715"/>
    </row>
    <row r="716" spans="1:5" x14ac:dyDescent="0.2">
      <c r="A716"/>
      <c r="B716"/>
      <c r="C716"/>
      <c r="D716"/>
      <c r="E716"/>
    </row>
    <row r="717" spans="1:5" x14ac:dyDescent="0.2">
      <c r="A717"/>
      <c r="B717"/>
      <c r="C717"/>
      <c r="D717"/>
      <c r="E717"/>
    </row>
    <row r="718" spans="1:5" x14ac:dyDescent="0.2">
      <c r="A718"/>
      <c r="B718"/>
      <c r="C718"/>
      <c r="D718"/>
      <c r="E718"/>
    </row>
    <row r="719" spans="1:5" x14ac:dyDescent="0.2">
      <c r="A719"/>
      <c r="B719"/>
      <c r="C719"/>
      <c r="D719"/>
      <c r="E719"/>
    </row>
    <row r="720" spans="1:5" x14ac:dyDescent="0.2">
      <c r="A720"/>
      <c r="B720"/>
      <c r="C720"/>
      <c r="D720"/>
      <c r="E720"/>
    </row>
    <row r="721" spans="1:5" x14ac:dyDescent="0.2">
      <c r="A721"/>
      <c r="B721"/>
      <c r="C721"/>
      <c r="D721"/>
      <c r="E721"/>
    </row>
    <row r="722" spans="1:5" x14ac:dyDescent="0.2">
      <c r="A722"/>
      <c r="B722"/>
      <c r="C722"/>
      <c r="D722"/>
      <c r="E722"/>
    </row>
    <row r="723" spans="1:5" x14ac:dyDescent="0.2">
      <c r="A723"/>
      <c r="B723"/>
      <c r="C723"/>
      <c r="D723"/>
      <c r="E723"/>
    </row>
    <row r="724" spans="1:5" x14ac:dyDescent="0.2">
      <c r="A724"/>
      <c r="B724"/>
      <c r="C724"/>
      <c r="D724"/>
      <c r="E724"/>
    </row>
    <row r="725" spans="1:5" x14ac:dyDescent="0.2">
      <c r="A725"/>
      <c r="B725"/>
      <c r="C725"/>
      <c r="D725"/>
      <c r="E725"/>
    </row>
    <row r="726" spans="1:5" x14ac:dyDescent="0.2">
      <c r="A726"/>
      <c r="B726"/>
      <c r="C726"/>
      <c r="D726"/>
      <c r="E726"/>
    </row>
    <row r="727" spans="1:5" x14ac:dyDescent="0.2">
      <c r="A727"/>
      <c r="B727"/>
      <c r="C727"/>
      <c r="D727"/>
      <c r="E727"/>
    </row>
    <row r="728" spans="1:5" x14ac:dyDescent="0.2">
      <c r="A728"/>
      <c r="B728"/>
      <c r="C728"/>
      <c r="D728"/>
      <c r="E728"/>
    </row>
    <row r="729" spans="1:5" x14ac:dyDescent="0.2">
      <c r="A729"/>
      <c r="B729"/>
      <c r="C729"/>
      <c r="D729"/>
      <c r="E729"/>
    </row>
    <row r="730" spans="1:5" x14ac:dyDescent="0.2">
      <c r="A730"/>
      <c r="B730"/>
      <c r="C730"/>
      <c r="D730"/>
      <c r="E730"/>
    </row>
    <row r="731" spans="1:5" x14ac:dyDescent="0.2">
      <c r="A731"/>
      <c r="B731"/>
      <c r="C731"/>
      <c r="D731"/>
      <c r="E731"/>
    </row>
    <row r="732" spans="1:5" x14ac:dyDescent="0.2">
      <c r="A732"/>
      <c r="B732"/>
      <c r="C732"/>
      <c r="D732"/>
      <c r="E732"/>
    </row>
    <row r="733" spans="1:5" x14ac:dyDescent="0.2">
      <c r="A733"/>
      <c r="B733"/>
      <c r="C733"/>
      <c r="D733"/>
      <c r="E733"/>
    </row>
    <row r="734" spans="1:5" x14ac:dyDescent="0.2">
      <c r="A734"/>
      <c r="B734"/>
      <c r="C734"/>
      <c r="D734"/>
      <c r="E734"/>
    </row>
    <row r="735" spans="1:5" x14ac:dyDescent="0.2">
      <c r="A735"/>
      <c r="B735"/>
      <c r="C735"/>
      <c r="D735"/>
      <c r="E735"/>
    </row>
    <row r="736" spans="1:5" x14ac:dyDescent="0.2">
      <c r="A736"/>
      <c r="B736"/>
      <c r="C736"/>
      <c r="D736"/>
      <c r="E736"/>
    </row>
    <row r="737" spans="1:5" x14ac:dyDescent="0.2">
      <c r="A737"/>
      <c r="B737"/>
      <c r="C737"/>
      <c r="D737"/>
      <c r="E737"/>
    </row>
    <row r="738" spans="1:5" x14ac:dyDescent="0.2">
      <c r="A738"/>
      <c r="B738"/>
      <c r="C738"/>
      <c r="D738"/>
      <c r="E738"/>
    </row>
    <row r="739" spans="1:5" x14ac:dyDescent="0.2">
      <c r="A739"/>
      <c r="B739"/>
      <c r="C739"/>
      <c r="D739"/>
      <c r="E739"/>
    </row>
    <row r="740" spans="1:5" x14ac:dyDescent="0.2">
      <c r="A740"/>
      <c r="B740"/>
      <c r="C740"/>
      <c r="D740"/>
      <c r="E740"/>
    </row>
    <row r="741" spans="1:5" x14ac:dyDescent="0.2">
      <c r="A741"/>
      <c r="B741"/>
      <c r="C741"/>
      <c r="D741"/>
      <c r="E741"/>
    </row>
    <row r="742" spans="1:5" x14ac:dyDescent="0.2">
      <c r="A742"/>
      <c r="B742"/>
      <c r="C742"/>
      <c r="D742"/>
      <c r="E742"/>
    </row>
    <row r="743" spans="1:5" x14ac:dyDescent="0.2">
      <c r="A743"/>
      <c r="B743"/>
      <c r="C743"/>
      <c r="D743"/>
      <c r="E743"/>
    </row>
    <row r="744" spans="1:5" x14ac:dyDescent="0.2">
      <c r="A744"/>
      <c r="B744"/>
      <c r="C744"/>
      <c r="D744"/>
      <c r="E744"/>
    </row>
    <row r="745" spans="1:5" x14ac:dyDescent="0.2">
      <c r="A745"/>
      <c r="B745"/>
      <c r="C745"/>
      <c r="D745"/>
      <c r="E745"/>
    </row>
    <row r="746" spans="1:5" x14ac:dyDescent="0.2">
      <c r="A746"/>
      <c r="B746"/>
      <c r="C746"/>
      <c r="D746"/>
      <c r="E746"/>
    </row>
    <row r="747" spans="1:5" x14ac:dyDescent="0.2">
      <c r="A747"/>
      <c r="B747"/>
      <c r="C747"/>
      <c r="D747"/>
      <c r="E747"/>
    </row>
    <row r="748" spans="1:5" x14ac:dyDescent="0.2">
      <c r="A748"/>
      <c r="B748"/>
      <c r="C748"/>
      <c r="D748"/>
      <c r="E748"/>
    </row>
    <row r="749" spans="1:5" x14ac:dyDescent="0.2">
      <c r="A749"/>
      <c r="B749"/>
      <c r="C749"/>
      <c r="D749"/>
      <c r="E749"/>
    </row>
    <row r="750" spans="1:5" x14ac:dyDescent="0.2">
      <c r="A750"/>
      <c r="B750"/>
      <c r="C750"/>
      <c r="D750"/>
      <c r="E750"/>
    </row>
    <row r="751" spans="1:5" x14ac:dyDescent="0.2">
      <c r="A751"/>
      <c r="B751"/>
      <c r="C751"/>
      <c r="D751"/>
      <c r="E751"/>
    </row>
    <row r="752" spans="1:5" x14ac:dyDescent="0.2">
      <c r="A752"/>
      <c r="B752"/>
      <c r="C752"/>
      <c r="D752"/>
      <c r="E752"/>
    </row>
    <row r="753" spans="1:5" x14ac:dyDescent="0.2">
      <c r="A753"/>
      <c r="B753"/>
      <c r="C753"/>
      <c r="D753"/>
      <c r="E753"/>
    </row>
    <row r="754" spans="1:5" x14ac:dyDescent="0.2">
      <c r="A754"/>
      <c r="B754"/>
      <c r="C754"/>
      <c r="D754"/>
      <c r="E754"/>
    </row>
    <row r="755" spans="1:5" x14ac:dyDescent="0.2">
      <c r="A755"/>
      <c r="B755"/>
      <c r="C755"/>
      <c r="D755"/>
      <c r="E755"/>
    </row>
    <row r="756" spans="1:5" x14ac:dyDescent="0.2">
      <c r="A756"/>
      <c r="B756"/>
      <c r="C756"/>
      <c r="D756"/>
      <c r="E756"/>
    </row>
    <row r="757" spans="1:5" x14ac:dyDescent="0.2">
      <c r="A757"/>
      <c r="B757"/>
      <c r="C757"/>
      <c r="D757"/>
      <c r="E757"/>
    </row>
    <row r="758" spans="1:5" x14ac:dyDescent="0.2">
      <c r="A758"/>
      <c r="B758"/>
      <c r="C758"/>
      <c r="D758"/>
      <c r="E758"/>
    </row>
    <row r="759" spans="1:5" x14ac:dyDescent="0.2">
      <c r="A759"/>
      <c r="B759"/>
      <c r="C759"/>
      <c r="D759"/>
      <c r="E759"/>
    </row>
    <row r="760" spans="1:5" x14ac:dyDescent="0.2">
      <c r="A760"/>
      <c r="B760"/>
      <c r="C760"/>
      <c r="D760"/>
      <c r="E760"/>
    </row>
    <row r="761" spans="1:5" x14ac:dyDescent="0.2">
      <c r="A761"/>
      <c r="B761"/>
      <c r="C761"/>
      <c r="D761"/>
      <c r="E761"/>
    </row>
    <row r="762" spans="1:5" x14ac:dyDescent="0.2">
      <c r="A762"/>
      <c r="B762"/>
      <c r="C762"/>
      <c r="D762"/>
      <c r="E762"/>
    </row>
    <row r="763" spans="1:5" x14ac:dyDescent="0.2">
      <c r="A763"/>
      <c r="B763"/>
      <c r="C763"/>
      <c r="D763"/>
      <c r="E763"/>
    </row>
    <row r="764" spans="1:5" x14ac:dyDescent="0.2">
      <c r="A764"/>
      <c r="B764"/>
      <c r="C764"/>
      <c r="D764"/>
      <c r="E764"/>
    </row>
    <row r="765" spans="1:5" x14ac:dyDescent="0.2">
      <c r="A765"/>
      <c r="B765"/>
      <c r="C765"/>
      <c r="D765"/>
      <c r="E765"/>
    </row>
    <row r="766" spans="1:5" x14ac:dyDescent="0.2">
      <c r="A766"/>
      <c r="B766"/>
      <c r="C766"/>
      <c r="D766"/>
      <c r="E766"/>
    </row>
    <row r="767" spans="1:5" x14ac:dyDescent="0.2">
      <c r="A767"/>
      <c r="B767"/>
      <c r="C767"/>
      <c r="D767"/>
      <c r="E767"/>
    </row>
    <row r="768" spans="1:5" x14ac:dyDescent="0.2">
      <c r="A768"/>
      <c r="B768"/>
      <c r="C768"/>
      <c r="D768"/>
      <c r="E768"/>
    </row>
    <row r="769" spans="1:5" x14ac:dyDescent="0.2">
      <c r="A769"/>
      <c r="B769"/>
      <c r="C769"/>
      <c r="D769"/>
      <c r="E769"/>
    </row>
    <row r="770" spans="1:5" x14ac:dyDescent="0.2">
      <c r="A770"/>
      <c r="B770"/>
      <c r="C770"/>
      <c r="D770"/>
      <c r="E770"/>
    </row>
    <row r="771" spans="1:5" x14ac:dyDescent="0.2">
      <c r="A771"/>
      <c r="B771"/>
      <c r="C771"/>
      <c r="D771"/>
      <c r="E771"/>
    </row>
    <row r="772" spans="1:5" x14ac:dyDescent="0.2">
      <c r="A772"/>
      <c r="B772"/>
      <c r="C772"/>
      <c r="D772"/>
      <c r="E772"/>
    </row>
    <row r="773" spans="1:5" x14ac:dyDescent="0.2">
      <c r="A773"/>
      <c r="B773"/>
      <c r="C773"/>
      <c r="D773"/>
      <c r="E773"/>
    </row>
    <row r="774" spans="1:5" x14ac:dyDescent="0.2">
      <c r="A774"/>
      <c r="B774"/>
      <c r="C774"/>
      <c r="D774"/>
      <c r="E774"/>
    </row>
    <row r="775" spans="1:5" x14ac:dyDescent="0.2">
      <c r="A775"/>
      <c r="B775"/>
      <c r="C775"/>
      <c r="D775"/>
      <c r="E775"/>
    </row>
    <row r="776" spans="1:5" x14ac:dyDescent="0.2">
      <c r="A776"/>
      <c r="B776"/>
      <c r="C776"/>
      <c r="D776"/>
      <c r="E776"/>
    </row>
    <row r="777" spans="1:5" x14ac:dyDescent="0.2">
      <c r="A777"/>
      <c r="B777"/>
      <c r="C777"/>
      <c r="D777"/>
      <c r="E777"/>
    </row>
    <row r="778" spans="1:5" x14ac:dyDescent="0.2">
      <c r="A778"/>
      <c r="B778"/>
      <c r="C778"/>
      <c r="D778"/>
      <c r="E778"/>
    </row>
    <row r="779" spans="1:5" x14ac:dyDescent="0.2">
      <c r="A779"/>
      <c r="B779"/>
      <c r="C779"/>
      <c r="D779"/>
      <c r="E779"/>
    </row>
    <row r="780" spans="1:5" x14ac:dyDescent="0.2">
      <c r="A780"/>
      <c r="B780"/>
      <c r="C780"/>
      <c r="D780"/>
      <c r="E780"/>
    </row>
    <row r="781" spans="1:5" x14ac:dyDescent="0.2">
      <c r="A781"/>
      <c r="B781"/>
      <c r="C781"/>
      <c r="D781"/>
      <c r="E781"/>
    </row>
    <row r="782" spans="1:5" x14ac:dyDescent="0.2">
      <c r="A782"/>
      <c r="B782"/>
      <c r="C782"/>
      <c r="D782"/>
      <c r="E782"/>
    </row>
    <row r="783" spans="1:5" x14ac:dyDescent="0.2">
      <c r="A783"/>
      <c r="B783"/>
      <c r="C783"/>
      <c r="D783"/>
      <c r="E783"/>
    </row>
    <row r="784" spans="1:5" x14ac:dyDescent="0.2">
      <c r="A784"/>
      <c r="B784"/>
      <c r="C784"/>
      <c r="D784"/>
      <c r="E784"/>
    </row>
    <row r="785" spans="1:5" x14ac:dyDescent="0.2">
      <c r="A785"/>
      <c r="B785"/>
      <c r="C785"/>
      <c r="D785"/>
      <c r="E785"/>
    </row>
    <row r="786" spans="1:5" x14ac:dyDescent="0.2">
      <c r="A786"/>
      <c r="B786"/>
      <c r="C786"/>
      <c r="D786"/>
      <c r="E786"/>
    </row>
    <row r="787" spans="1:5" x14ac:dyDescent="0.2">
      <c r="A787"/>
      <c r="B787"/>
      <c r="C787"/>
      <c r="D787"/>
      <c r="E787"/>
    </row>
    <row r="788" spans="1:5" x14ac:dyDescent="0.2">
      <c r="A788"/>
      <c r="B788"/>
      <c r="C788"/>
      <c r="D788"/>
      <c r="E788"/>
    </row>
    <row r="789" spans="1:5" x14ac:dyDescent="0.2">
      <c r="A789"/>
      <c r="B789"/>
      <c r="C789"/>
      <c r="D789"/>
      <c r="E789"/>
    </row>
    <row r="790" spans="1:5" x14ac:dyDescent="0.2">
      <c r="A790"/>
      <c r="B790"/>
      <c r="C790"/>
      <c r="D790"/>
      <c r="E790"/>
    </row>
    <row r="791" spans="1:5" x14ac:dyDescent="0.2">
      <c r="A791"/>
      <c r="B791"/>
      <c r="C791"/>
      <c r="D791"/>
      <c r="E791"/>
    </row>
    <row r="792" spans="1:5" x14ac:dyDescent="0.2">
      <c r="A792"/>
      <c r="B792"/>
      <c r="C792"/>
      <c r="D792"/>
      <c r="E792"/>
    </row>
    <row r="793" spans="1:5" x14ac:dyDescent="0.2">
      <c r="A793"/>
      <c r="B793"/>
      <c r="C793"/>
      <c r="D793"/>
      <c r="E793"/>
    </row>
    <row r="794" spans="1:5" x14ac:dyDescent="0.2">
      <c r="A794"/>
      <c r="B794"/>
      <c r="C794"/>
      <c r="D794"/>
      <c r="E794"/>
    </row>
    <row r="795" spans="1:5" x14ac:dyDescent="0.2">
      <c r="A795"/>
      <c r="B795"/>
      <c r="C795"/>
      <c r="D795"/>
      <c r="E795"/>
    </row>
    <row r="796" spans="1:5" x14ac:dyDescent="0.2">
      <c r="A796"/>
      <c r="B796"/>
      <c r="C796"/>
      <c r="D796"/>
      <c r="E796"/>
    </row>
    <row r="797" spans="1:5" x14ac:dyDescent="0.2">
      <c r="A797"/>
      <c r="B797"/>
      <c r="C797"/>
      <c r="D797"/>
      <c r="E797"/>
    </row>
    <row r="798" spans="1:5" x14ac:dyDescent="0.2">
      <c r="A798"/>
      <c r="B798"/>
      <c r="C798"/>
      <c r="D798"/>
      <c r="E798"/>
    </row>
    <row r="799" spans="1:5" x14ac:dyDescent="0.2">
      <c r="A799"/>
      <c r="B799"/>
      <c r="C799"/>
      <c r="D799"/>
      <c r="E799"/>
    </row>
    <row r="800" spans="1:5" x14ac:dyDescent="0.2">
      <c r="A800"/>
      <c r="B800"/>
      <c r="C800"/>
      <c r="D800"/>
      <c r="E800"/>
    </row>
    <row r="801" spans="1:5" x14ac:dyDescent="0.2">
      <c r="A801"/>
      <c r="B801"/>
      <c r="C801"/>
      <c r="D801"/>
      <c r="E801"/>
    </row>
    <row r="802" spans="1:5" x14ac:dyDescent="0.2">
      <c r="A802"/>
      <c r="B802"/>
      <c r="C802"/>
      <c r="D802"/>
      <c r="E802"/>
    </row>
    <row r="803" spans="1:5" x14ac:dyDescent="0.2">
      <c r="A803"/>
      <c r="B803"/>
      <c r="C803"/>
      <c r="D803"/>
      <c r="E803"/>
    </row>
    <row r="804" spans="1:5" x14ac:dyDescent="0.2">
      <c r="A804"/>
      <c r="B804"/>
      <c r="C804"/>
      <c r="D804"/>
      <c r="E804"/>
    </row>
    <row r="805" spans="1:5" x14ac:dyDescent="0.2">
      <c r="A805"/>
      <c r="B805"/>
      <c r="C805"/>
      <c r="D805"/>
      <c r="E805"/>
    </row>
    <row r="806" spans="1:5" x14ac:dyDescent="0.2">
      <c r="A806"/>
      <c r="B806"/>
      <c r="C806"/>
      <c r="D806"/>
      <c r="E806"/>
    </row>
    <row r="807" spans="1:5" x14ac:dyDescent="0.2">
      <c r="A807"/>
      <c r="B807"/>
      <c r="C807"/>
      <c r="D807"/>
      <c r="E807"/>
    </row>
    <row r="808" spans="1:5" x14ac:dyDescent="0.2">
      <c r="A808"/>
      <c r="B808"/>
      <c r="C808"/>
      <c r="D808"/>
      <c r="E808"/>
    </row>
    <row r="809" spans="1:5" x14ac:dyDescent="0.2">
      <c r="A809"/>
      <c r="B809"/>
      <c r="C809"/>
      <c r="D809"/>
      <c r="E809"/>
    </row>
    <row r="810" spans="1:5" x14ac:dyDescent="0.2">
      <c r="A810"/>
      <c r="B810"/>
      <c r="C810"/>
      <c r="D810"/>
      <c r="E810"/>
    </row>
    <row r="811" spans="1:5" x14ac:dyDescent="0.2">
      <c r="A811"/>
      <c r="B811"/>
      <c r="C811"/>
      <c r="D811"/>
      <c r="E811"/>
    </row>
    <row r="812" spans="1:5" x14ac:dyDescent="0.2">
      <c r="A812"/>
      <c r="B812"/>
      <c r="C812"/>
      <c r="D812"/>
      <c r="E812"/>
    </row>
    <row r="813" spans="1:5" x14ac:dyDescent="0.2">
      <c r="A813"/>
      <c r="B813"/>
      <c r="C813"/>
      <c r="D813"/>
      <c r="E813"/>
    </row>
    <row r="814" spans="1:5" x14ac:dyDescent="0.2">
      <c r="A814"/>
      <c r="B814"/>
      <c r="C814"/>
      <c r="D814"/>
      <c r="E814"/>
    </row>
    <row r="815" spans="1:5" x14ac:dyDescent="0.2">
      <c r="A815"/>
      <c r="B815"/>
      <c r="C815"/>
      <c r="D815"/>
      <c r="E815"/>
    </row>
    <row r="816" spans="1:5" x14ac:dyDescent="0.2">
      <c r="A816"/>
      <c r="B816"/>
      <c r="C816"/>
      <c r="D816"/>
      <c r="E816"/>
    </row>
    <row r="817" spans="1:5" x14ac:dyDescent="0.2">
      <c r="A817"/>
      <c r="B817"/>
      <c r="C817"/>
      <c r="D817"/>
      <c r="E817"/>
    </row>
    <row r="818" spans="1:5" x14ac:dyDescent="0.2">
      <c r="A818"/>
      <c r="B818"/>
      <c r="C818"/>
      <c r="D818"/>
      <c r="E818"/>
    </row>
    <row r="819" spans="1:5" x14ac:dyDescent="0.2">
      <c r="A819"/>
      <c r="B819"/>
      <c r="C819"/>
      <c r="D819"/>
      <c r="E819"/>
    </row>
    <row r="820" spans="1:5" x14ac:dyDescent="0.2">
      <c r="A820"/>
      <c r="B820"/>
      <c r="C820"/>
      <c r="D820"/>
      <c r="E820"/>
    </row>
    <row r="821" spans="1:5" x14ac:dyDescent="0.2">
      <c r="A821"/>
      <c r="B821"/>
      <c r="C821"/>
      <c r="D821"/>
      <c r="E821"/>
    </row>
    <row r="822" spans="1:5" x14ac:dyDescent="0.2">
      <c r="A822"/>
      <c r="B822"/>
      <c r="C822"/>
      <c r="D822"/>
      <c r="E822"/>
    </row>
    <row r="823" spans="1:5" x14ac:dyDescent="0.2">
      <c r="A823"/>
      <c r="B823"/>
      <c r="C823"/>
      <c r="D823"/>
      <c r="E823"/>
    </row>
    <row r="824" spans="1:5" x14ac:dyDescent="0.2">
      <c r="A824"/>
      <c r="B824"/>
      <c r="C824"/>
      <c r="D824"/>
      <c r="E824"/>
    </row>
    <row r="825" spans="1:5" x14ac:dyDescent="0.2">
      <c r="A825"/>
      <c r="B825"/>
      <c r="C825"/>
      <c r="D825"/>
      <c r="E825"/>
    </row>
    <row r="826" spans="1:5" x14ac:dyDescent="0.2">
      <c r="A826"/>
      <c r="B826"/>
      <c r="C826"/>
      <c r="D826"/>
      <c r="E826"/>
    </row>
    <row r="827" spans="1:5" x14ac:dyDescent="0.2">
      <c r="A827"/>
      <c r="B827"/>
      <c r="C827"/>
      <c r="D827"/>
      <c r="E827"/>
    </row>
    <row r="828" spans="1:5" x14ac:dyDescent="0.2">
      <c r="A828"/>
      <c r="B828"/>
      <c r="C828"/>
      <c r="D828"/>
      <c r="E828"/>
    </row>
    <row r="829" spans="1:5" x14ac:dyDescent="0.2">
      <c r="A829"/>
      <c r="B829"/>
      <c r="C829"/>
      <c r="D829"/>
      <c r="E829"/>
    </row>
    <row r="830" spans="1:5" x14ac:dyDescent="0.2">
      <c r="A830"/>
      <c r="B830"/>
      <c r="C830"/>
      <c r="D830"/>
      <c r="E830"/>
    </row>
    <row r="831" spans="1:5" x14ac:dyDescent="0.2">
      <c r="A831"/>
      <c r="B831"/>
      <c r="C831"/>
      <c r="D831"/>
      <c r="E831"/>
    </row>
    <row r="832" spans="1:5" x14ac:dyDescent="0.2">
      <c r="A832"/>
      <c r="B832"/>
      <c r="C832"/>
      <c r="D832"/>
      <c r="E832"/>
    </row>
    <row r="833" spans="1:5" x14ac:dyDescent="0.2">
      <c r="A833"/>
      <c r="B833"/>
      <c r="C833"/>
      <c r="D833"/>
      <c r="E833"/>
    </row>
    <row r="834" spans="1:5" x14ac:dyDescent="0.2">
      <c r="A834"/>
      <c r="B834"/>
      <c r="C834"/>
      <c r="D834"/>
      <c r="E834"/>
    </row>
    <row r="835" spans="1:5" x14ac:dyDescent="0.2">
      <c r="A835"/>
      <c r="B835"/>
      <c r="C835"/>
      <c r="D835"/>
      <c r="E835"/>
    </row>
    <row r="836" spans="1:5" x14ac:dyDescent="0.2">
      <c r="A836"/>
      <c r="B836"/>
      <c r="C836"/>
      <c r="D836"/>
      <c r="E836"/>
    </row>
    <row r="837" spans="1:5" x14ac:dyDescent="0.2">
      <c r="A837"/>
      <c r="B837"/>
      <c r="C837"/>
      <c r="D837"/>
      <c r="E837"/>
    </row>
    <row r="838" spans="1:5" x14ac:dyDescent="0.2">
      <c r="A838"/>
      <c r="B838"/>
      <c r="C838"/>
      <c r="D838"/>
      <c r="E838"/>
    </row>
    <row r="839" spans="1:5" x14ac:dyDescent="0.2">
      <c r="A839"/>
      <c r="B839"/>
      <c r="C839"/>
      <c r="D839"/>
      <c r="E839"/>
    </row>
    <row r="840" spans="1:5" x14ac:dyDescent="0.2">
      <c r="A840"/>
      <c r="B840"/>
      <c r="C840"/>
      <c r="D840"/>
      <c r="E840"/>
    </row>
    <row r="841" spans="1:5" x14ac:dyDescent="0.2">
      <c r="A841"/>
      <c r="B841"/>
      <c r="C841"/>
      <c r="D841"/>
      <c r="E841"/>
    </row>
    <row r="842" spans="1:5" x14ac:dyDescent="0.2">
      <c r="A842"/>
      <c r="B842"/>
      <c r="C842"/>
      <c r="D842"/>
      <c r="E842"/>
    </row>
    <row r="843" spans="1:5" x14ac:dyDescent="0.2">
      <c r="A843"/>
      <c r="B843"/>
      <c r="C843"/>
      <c r="D843"/>
      <c r="E843"/>
    </row>
    <row r="844" spans="1:5" x14ac:dyDescent="0.2">
      <c r="A844"/>
      <c r="B844"/>
      <c r="C844"/>
      <c r="D844"/>
      <c r="E844"/>
    </row>
    <row r="845" spans="1:5" x14ac:dyDescent="0.2">
      <c r="A845"/>
      <c r="B845"/>
      <c r="C845"/>
      <c r="D845"/>
      <c r="E845"/>
    </row>
    <row r="846" spans="1:5" x14ac:dyDescent="0.2">
      <c r="A846"/>
      <c r="B846"/>
      <c r="C846"/>
      <c r="D846"/>
      <c r="E846"/>
    </row>
    <row r="847" spans="1:5" x14ac:dyDescent="0.2">
      <c r="A847"/>
      <c r="B847"/>
      <c r="C847"/>
      <c r="D847"/>
      <c r="E847"/>
    </row>
    <row r="848" spans="1:5" x14ac:dyDescent="0.2">
      <c r="A848"/>
      <c r="B848"/>
      <c r="C848"/>
      <c r="D848"/>
      <c r="E848"/>
    </row>
    <row r="849" spans="1:5" x14ac:dyDescent="0.2">
      <c r="A849"/>
      <c r="B849"/>
      <c r="C849"/>
      <c r="D849"/>
      <c r="E849"/>
    </row>
    <row r="850" spans="1:5" x14ac:dyDescent="0.2">
      <c r="A850"/>
      <c r="B850"/>
      <c r="C850"/>
      <c r="D850"/>
      <c r="E850"/>
    </row>
    <row r="851" spans="1:5" x14ac:dyDescent="0.2">
      <c r="A851"/>
      <c r="B851"/>
      <c r="C851"/>
      <c r="D851"/>
      <c r="E851"/>
    </row>
    <row r="852" spans="1:5" x14ac:dyDescent="0.2">
      <c r="A852"/>
      <c r="B852"/>
      <c r="C852"/>
      <c r="D852"/>
      <c r="E852"/>
    </row>
    <row r="853" spans="1:5" x14ac:dyDescent="0.2">
      <c r="A853"/>
      <c r="B853"/>
      <c r="C853"/>
      <c r="D853"/>
      <c r="E853"/>
    </row>
    <row r="854" spans="1:5" x14ac:dyDescent="0.2">
      <c r="A854"/>
      <c r="B854"/>
      <c r="C854"/>
      <c r="D854"/>
      <c r="E854"/>
    </row>
    <row r="855" spans="1:5" x14ac:dyDescent="0.2">
      <c r="A855"/>
      <c r="B855"/>
      <c r="C855"/>
      <c r="D855"/>
      <c r="E855"/>
    </row>
    <row r="856" spans="1:5" x14ac:dyDescent="0.2">
      <c r="A856"/>
      <c r="B856"/>
      <c r="C856"/>
      <c r="D856"/>
      <c r="E856"/>
    </row>
    <row r="857" spans="1:5" x14ac:dyDescent="0.2">
      <c r="A857"/>
      <c r="B857"/>
      <c r="C857"/>
      <c r="D857"/>
      <c r="E857"/>
    </row>
    <row r="858" spans="1:5" x14ac:dyDescent="0.2">
      <c r="A858"/>
      <c r="B858"/>
      <c r="C858"/>
      <c r="D858"/>
      <c r="E858"/>
    </row>
    <row r="859" spans="1:5" x14ac:dyDescent="0.2">
      <c r="A859"/>
      <c r="B859"/>
      <c r="C859"/>
      <c r="D859"/>
      <c r="E859"/>
    </row>
    <row r="860" spans="1:5" x14ac:dyDescent="0.2">
      <c r="A860"/>
      <c r="B860"/>
      <c r="C860"/>
      <c r="D860"/>
      <c r="E860"/>
    </row>
    <row r="861" spans="1:5" x14ac:dyDescent="0.2">
      <c r="A861"/>
      <c r="B861"/>
      <c r="C861"/>
      <c r="D861"/>
      <c r="E861"/>
    </row>
    <row r="862" spans="1:5" x14ac:dyDescent="0.2">
      <c r="A862"/>
      <c r="B862"/>
      <c r="C862"/>
      <c r="D862"/>
      <c r="E862"/>
    </row>
    <row r="863" spans="1:5" x14ac:dyDescent="0.2">
      <c r="A863"/>
      <c r="B863"/>
      <c r="C863"/>
      <c r="D863"/>
      <c r="E863"/>
    </row>
    <row r="864" spans="1:5" x14ac:dyDescent="0.2">
      <c r="A864"/>
      <c r="B864"/>
      <c r="C864"/>
      <c r="D864"/>
      <c r="E864"/>
    </row>
    <row r="865" spans="1:5" x14ac:dyDescent="0.2">
      <c r="A865"/>
      <c r="B865"/>
      <c r="C865"/>
      <c r="D865"/>
      <c r="E865"/>
    </row>
    <row r="866" spans="1:5" x14ac:dyDescent="0.2">
      <c r="A866"/>
      <c r="B866"/>
      <c r="C866"/>
      <c r="D866"/>
      <c r="E866"/>
    </row>
    <row r="867" spans="1:5" x14ac:dyDescent="0.2">
      <c r="A867"/>
      <c r="B867"/>
      <c r="C867"/>
      <c r="D867"/>
      <c r="E867"/>
    </row>
    <row r="868" spans="1:5" x14ac:dyDescent="0.2">
      <c r="A868"/>
      <c r="B868"/>
      <c r="C868"/>
      <c r="D868"/>
      <c r="E868"/>
    </row>
    <row r="869" spans="1:5" x14ac:dyDescent="0.2">
      <c r="A869"/>
      <c r="B869"/>
      <c r="C869"/>
      <c r="D869"/>
      <c r="E869"/>
    </row>
    <row r="870" spans="1:5" x14ac:dyDescent="0.2">
      <c r="A870"/>
      <c r="B870"/>
      <c r="C870"/>
      <c r="D870"/>
      <c r="E870"/>
    </row>
    <row r="871" spans="1:5" x14ac:dyDescent="0.2">
      <c r="A871"/>
      <c r="B871"/>
      <c r="C871"/>
      <c r="D871"/>
      <c r="E871"/>
    </row>
    <row r="872" spans="1:5" x14ac:dyDescent="0.2">
      <c r="A872"/>
      <c r="B872"/>
      <c r="C872"/>
      <c r="D872"/>
      <c r="E872"/>
    </row>
    <row r="873" spans="1:5" x14ac:dyDescent="0.2">
      <c r="A873"/>
      <c r="B873"/>
      <c r="C873"/>
      <c r="D873"/>
      <c r="E873"/>
    </row>
    <row r="874" spans="1:5" x14ac:dyDescent="0.2">
      <c r="A874"/>
      <c r="B874"/>
      <c r="C874"/>
      <c r="D874"/>
      <c r="E874"/>
    </row>
    <row r="875" spans="1:5" x14ac:dyDescent="0.2">
      <c r="A875"/>
      <c r="B875"/>
      <c r="C875"/>
      <c r="D875"/>
      <c r="E875"/>
    </row>
    <row r="876" spans="1:5" x14ac:dyDescent="0.2">
      <c r="A876"/>
      <c r="B876"/>
      <c r="C876"/>
      <c r="D876"/>
      <c r="E876"/>
    </row>
    <row r="877" spans="1:5" x14ac:dyDescent="0.2">
      <c r="A877"/>
      <c r="B877"/>
      <c r="C877"/>
      <c r="D877"/>
      <c r="E877"/>
    </row>
    <row r="878" spans="1:5" x14ac:dyDescent="0.2">
      <c r="A878"/>
      <c r="B878"/>
      <c r="C878"/>
      <c r="D878"/>
      <c r="E878"/>
    </row>
    <row r="879" spans="1:5" x14ac:dyDescent="0.2">
      <c r="A879"/>
      <c r="B879"/>
      <c r="C879"/>
      <c r="D879"/>
      <c r="E879"/>
    </row>
    <row r="880" spans="1:5" x14ac:dyDescent="0.2">
      <c r="A880"/>
      <c r="B880"/>
      <c r="C880"/>
      <c r="D880"/>
      <c r="E880"/>
    </row>
    <row r="881" spans="1:5" x14ac:dyDescent="0.2">
      <c r="A881"/>
      <c r="B881"/>
      <c r="C881"/>
      <c r="D881"/>
      <c r="E881"/>
    </row>
    <row r="882" spans="1:5" x14ac:dyDescent="0.2">
      <c r="A882"/>
      <c r="B882"/>
      <c r="C882"/>
      <c r="D882"/>
      <c r="E882"/>
    </row>
    <row r="883" spans="1:5" x14ac:dyDescent="0.2">
      <c r="A883"/>
      <c r="B883"/>
      <c r="C883"/>
      <c r="D883"/>
      <c r="E883"/>
    </row>
    <row r="884" spans="1:5" x14ac:dyDescent="0.2">
      <c r="A884"/>
      <c r="B884"/>
      <c r="C884"/>
      <c r="D884"/>
      <c r="E884"/>
    </row>
    <row r="885" spans="1:5" x14ac:dyDescent="0.2">
      <c r="A885"/>
      <c r="B885"/>
      <c r="C885"/>
      <c r="D885"/>
      <c r="E885"/>
    </row>
    <row r="886" spans="1:5" x14ac:dyDescent="0.2">
      <c r="A886"/>
      <c r="B886"/>
      <c r="C886"/>
      <c r="D886"/>
      <c r="E886"/>
    </row>
    <row r="887" spans="1:5" x14ac:dyDescent="0.2">
      <c r="A887"/>
      <c r="B887"/>
      <c r="C887"/>
      <c r="D887"/>
      <c r="E887"/>
    </row>
    <row r="888" spans="1:5" x14ac:dyDescent="0.2">
      <c r="A888"/>
      <c r="B888"/>
      <c r="C888"/>
      <c r="D888"/>
      <c r="E888"/>
    </row>
    <row r="889" spans="1:5" x14ac:dyDescent="0.2">
      <c r="A889"/>
      <c r="B889"/>
      <c r="C889"/>
      <c r="D889"/>
      <c r="E889"/>
    </row>
    <row r="890" spans="1:5" x14ac:dyDescent="0.2">
      <c r="A890"/>
      <c r="B890"/>
      <c r="C890"/>
      <c r="D890"/>
      <c r="E890"/>
    </row>
    <row r="891" spans="1:5" x14ac:dyDescent="0.2">
      <c r="A891"/>
      <c r="B891"/>
      <c r="C891"/>
      <c r="D891"/>
      <c r="E891"/>
    </row>
    <row r="892" spans="1:5" x14ac:dyDescent="0.2">
      <c r="A892"/>
      <c r="B892"/>
      <c r="C892"/>
      <c r="D892"/>
      <c r="E892"/>
    </row>
    <row r="893" spans="1:5" x14ac:dyDescent="0.2">
      <c r="A893"/>
      <c r="B893"/>
      <c r="C893"/>
      <c r="D893"/>
      <c r="E893"/>
    </row>
    <row r="894" spans="1:5" x14ac:dyDescent="0.2">
      <c r="A894"/>
      <c r="B894"/>
      <c r="C894"/>
      <c r="D894"/>
      <c r="E894"/>
    </row>
    <row r="895" spans="1:5" x14ac:dyDescent="0.2">
      <c r="A895"/>
      <c r="B895"/>
      <c r="C895"/>
      <c r="D895"/>
      <c r="E895"/>
    </row>
    <row r="896" spans="1:5" x14ac:dyDescent="0.2">
      <c r="A896"/>
      <c r="B896"/>
      <c r="C896"/>
      <c r="D896"/>
      <c r="E896"/>
    </row>
    <row r="897" spans="1:5" x14ac:dyDescent="0.2">
      <c r="A897"/>
      <c r="B897"/>
      <c r="C897"/>
      <c r="D897"/>
      <c r="E897"/>
    </row>
    <row r="898" spans="1:5" x14ac:dyDescent="0.2">
      <c r="A898"/>
      <c r="B898"/>
      <c r="C898"/>
      <c r="D898"/>
      <c r="E898"/>
    </row>
    <row r="899" spans="1:5" x14ac:dyDescent="0.2">
      <c r="A899"/>
      <c r="B899"/>
      <c r="C899"/>
      <c r="D899"/>
      <c r="E899"/>
    </row>
    <row r="900" spans="1:5" x14ac:dyDescent="0.2">
      <c r="A900"/>
      <c r="B900"/>
      <c r="C900"/>
      <c r="D900"/>
      <c r="E900"/>
    </row>
    <row r="901" spans="1:5" x14ac:dyDescent="0.2">
      <c r="A901"/>
      <c r="B901"/>
      <c r="C901"/>
      <c r="D901"/>
      <c r="E901"/>
    </row>
    <row r="902" spans="1:5" x14ac:dyDescent="0.2">
      <c r="A902"/>
      <c r="B902"/>
      <c r="C902"/>
      <c r="D902"/>
      <c r="E902"/>
    </row>
    <row r="903" spans="1:5" x14ac:dyDescent="0.2">
      <c r="A903"/>
      <c r="B903"/>
      <c r="C903"/>
      <c r="D903"/>
      <c r="E903"/>
    </row>
    <row r="904" spans="1:5" x14ac:dyDescent="0.2">
      <c r="A904"/>
      <c r="B904"/>
      <c r="C904"/>
      <c r="D904"/>
      <c r="E904"/>
    </row>
    <row r="905" spans="1:5" x14ac:dyDescent="0.2">
      <c r="A905"/>
      <c r="B905"/>
      <c r="C905"/>
      <c r="D905"/>
      <c r="E905"/>
    </row>
    <row r="906" spans="1:5" x14ac:dyDescent="0.2">
      <c r="A906"/>
      <c r="B906"/>
      <c r="C906"/>
      <c r="D906"/>
      <c r="E906"/>
    </row>
    <row r="907" spans="1:5" x14ac:dyDescent="0.2">
      <c r="A907"/>
      <c r="B907"/>
      <c r="C907"/>
      <c r="D907"/>
      <c r="E907"/>
    </row>
    <row r="908" spans="1:5" x14ac:dyDescent="0.2">
      <c r="A908"/>
      <c r="B908"/>
      <c r="C908"/>
      <c r="D908"/>
      <c r="E908"/>
    </row>
    <row r="909" spans="1:5" x14ac:dyDescent="0.2">
      <c r="A909"/>
      <c r="B909"/>
      <c r="C909"/>
      <c r="D909"/>
      <c r="E909"/>
    </row>
    <row r="910" spans="1:5" x14ac:dyDescent="0.2">
      <c r="A910"/>
      <c r="B910"/>
      <c r="C910"/>
      <c r="D910"/>
      <c r="E910"/>
    </row>
    <row r="911" spans="1:5" x14ac:dyDescent="0.2">
      <c r="A911"/>
      <c r="B911"/>
      <c r="C911"/>
      <c r="D911"/>
      <c r="E911"/>
    </row>
    <row r="912" spans="1:5" x14ac:dyDescent="0.2">
      <c r="A912"/>
      <c r="B912"/>
      <c r="C912"/>
      <c r="D912"/>
      <c r="E912"/>
    </row>
    <row r="913" spans="1:5" x14ac:dyDescent="0.2">
      <c r="A913"/>
      <c r="B913"/>
      <c r="C913"/>
      <c r="D913"/>
      <c r="E913"/>
    </row>
    <row r="914" spans="1:5" x14ac:dyDescent="0.2">
      <c r="A914"/>
      <c r="B914"/>
      <c r="C914"/>
      <c r="D914"/>
      <c r="E914"/>
    </row>
    <row r="915" spans="1:5" x14ac:dyDescent="0.2">
      <c r="A915"/>
      <c r="B915"/>
      <c r="C915"/>
      <c r="D915"/>
      <c r="E915"/>
    </row>
    <row r="916" spans="1:5" x14ac:dyDescent="0.2">
      <c r="A916"/>
      <c r="B916"/>
      <c r="C916"/>
      <c r="D916"/>
      <c r="E916"/>
    </row>
    <row r="917" spans="1:5" x14ac:dyDescent="0.2">
      <c r="A917"/>
      <c r="B917"/>
      <c r="C917"/>
      <c r="D917"/>
      <c r="E917"/>
    </row>
    <row r="918" spans="1:5" x14ac:dyDescent="0.2">
      <c r="A918"/>
      <c r="B918"/>
      <c r="C918"/>
      <c r="D918"/>
      <c r="E918"/>
    </row>
    <row r="919" spans="1:5" x14ac:dyDescent="0.2">
      <c r="A919"/>
      <c r="B919"/>
      <c r="C919"/>
      <c r="D919"/>
      <c r="E919"/>
    </row>
    <row r="920" spans="1:5" x14ac:dyDescent="0.2">
      <c r="A920"/>
      <c r="B920"/>
      <c r="C920"/>
      <c r="D920"/>
      <c r="E920"/>
    </row>
    <row r="921" spans="1:5" x14ac:dyDescent="0.2">
      <c r="A921"/>
      <c r="B921"/>
      <c r="C921"/>
      <c r="D921"/>
      <c r="E921"/>
    </row>
    <row r="922" spans="1:5" x14ac:dyDescent="0.2">
      <c r="A922"/>
      <c r="B922"/>
      <c r="C922"/>
      <c r="D922"/>
      <c r="E922"/>
    </row>
    <row r="923" spans="1:5" x14ac:dyDescent="0.2">
      <c r="A923"/>
      <c r="B923"/>
      <c r="C923"/>
      <c r="D923"/>
      <c r="E923"/>
    </row>
    <row r="924" spans="1:5" x14ac:dyDescent="0.2">
      <c r="A924"/>
      <c r="B924"/>
      <c r="C924"/>
      <c r="D924"/>
      <c r="E924"/>
    </row>
    <row r="925" spans="1:5" x14ac:dyDescent="0.2">
      <c r="A925"/>
      <c r="B925"/>
      <c r="C925"/>
      <c r="D925"/>
      <c r="E925"/>
    </row>
    <row r="926" spans="1:5" x14ac:dyDescent="0.2">
      <c r="A926"/>
      <c r="B926"/>
      <c r="C926"/>
      <c r="D926"/>
      <c r="E926"/>
    </row>
    <row r="927" spans="1:5" x14ac:dyDescent="0.2">
      <c r="A927"/>
      <c r="B927"/>
      <c r="C927"/>
      <c r="D927"/>
      <c r="E927"/>
    </row>
    <row r="928" spans="1:5" x14ac:dyDescent="0.2">
      <c r="A928"/>
      <c r="B928"/>
      <c r="C928"/>
      <c r="D928"/>
      <c r="E928"/>
    </row>
    <row r="929" spans="1:5" x14ac:dyDescent="0.2">
      <c r="A929"/>
      <c r="B929"/>
      <c r="C929"/>
      <c r="D929"/>
      <c r="E929"/>
    </row>
    <row r="930" spans="1:5" x14ac:dyDescent="0.2">
      <c r="A930"/>
      <c r="B930"/>
      <c r="C930"/>
      <c r="D930"/>
      <c r="E930"/>
    </row>
    <row r="931" spans="1:5" x14ac:dyDescent="0.2">
      <c r="A931"/>
      <c r="B931"/>
      <c r="C931"/>
      <c r="D931"/>
      <c r="E931"/>
    </row>
    <row r="932" spans="1:5" x14ac:dyDescent="0.2">
      <c r="A932"/>
      <c r="B932"/>
      <c r="C932"/>
      <c r="D932"/>
      <c r="E932"/>
    </row>
    <row r="933" spans="1:5" x14ac:dyDescent="0.2">
      <c r="A933"/>
      <c r="B933"/>
      <c r="C933"/>
      <c r="D933"/>
      <c r="E933"/>
    </row>
    <row r="934" spans="1:5" x14ac:dyDescent="0.2">
      <c r="A934"/>
      <c r="B934"/>
      <c r="C934"/>
      <c r="D934"/>
      <c r="E934"/>
    </row>
    <row r="935" spans="1:5" x14ac:dyDescent="0.2">
      <c r="A935"/>
      <c r="B935"/>
      <c r="C935"/>
      <c r="D935"/>
      <c r="E935"/>
    </row>
    <row r="936" spans="1:5" x14ac:dyDescent="0.2">
      <c r="A936"/>
      <c r="B936"/>
      <c r="C936"/>
      <c r="D936"/>
      <c r="E936"/>
    </row>
    <row r="937" spans="1:5" x14ac:dyDescent="0.2">
      <c r="A937"/>
      <c r="B937"/>
      <c r="C937"/>
      <c r="D937"/>
      <c r="E937"/>
    </row>
    <row r="938" spans="1:5" x14ac:dyDescent="0.2">
      <c r="A938"/>
      <c r="B938"/>
      <c r="C938"/>
      <c r="D938"/>
      <c r="E938"/>
    </row>
    <row r="939" spans="1:5" x14ac:dyDescent="0.2">
      <c r="A939"/>
      <c r="B939"/>
      <c r="C939"/>
      <c r="D939"/>
      <c r="E939"/>
    </row>
    <row r="940" spans="1:5" x14ac:dyDescent="0.2">
      <c r="A940"/>
      <c r="B940"/>
      <c r="C940"/>
      <c r="D940"/>
      <c r="E940"/>
    </row>
    <row r="941" spans="1:5" x14ac:dyDescent="0.2">
      <c r="A941"/>
      <c r="B941"/>
      <c r="C941"/>
      <c r="D941"/>
      <c r="E941"/>
    </row>
  </sheetData>
  <sheetProtection formatColumns="0" formatRows="0" insertColumns="0" insertRows="0"/>
  <mergeCells count="1">
    <mergeCell ref="A1:F1"/>
  </mergeCells>
  <pageMargins left="0.7" right="0.7" top="0.75" bottom="0.75" header="0.3" footer="0.3"/>
  <pageSetup orientation="landscape"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149B0-C4D8-42E1-A0D2-62AADA20EB45}">
  <sheetPr codeName="Sheet6">
    <tabColor rgb="FF7030A0"/>
    <pageSetUpPr fitToPage="1"/>
  </sheetPr>
  <dimension ref="C1:K25"/>
  <sheetViews>
    <sheetView tabSelected="1" workbookViewId="0">
      <selection activeCell="F15" sqref="F15"/>
    </sheetView>
  </sheetViews>
  <sheetFormatPr baseColWidth="10" defaultColWidth="9.1640625" defaultRowHeight="17" x14ac:dyDescent="0.2"/>
  <cols>
    <col min="1" max="1" width="9.1640625" style="2"/>
    <col min="2" max="2" width="0" style="2" hidden="1" customWidth="1"/>
    <col min="3" max="3" width="9.1640625" style="2" hidden="1" customWidth="1"/>
    <col min="4" max="4" width="37.33203125" style="2" customWidth="1"/>
    <col min="5" max="5" width="30.5" style="2" customWidth="1"/>
    <col min="6" max="6" width="14" style="2" customWidth="1"/>
    <col min="7" max="7" width="10.83203125" style="2" customWidth="1"/>
    <col min="8" max="8" width="13" style="8" customWidth="1"/>
    <col min="9" max="9" width="25.5" style="2" customWidth="1"/>
    <col min="10" max="10" width="23.6640625" style="2" customWidth="1"/>
    <col min="11" max="11" width="15.83203125" style="2" customWidth="1"/>
    <col min="12" max="16384" width="9.1640625" style="2"/>
  </cols>
  <sheetData>
    <row r="1" spans="4:11" ht="16.5" customHeight="1" x14ac:dyDescent="0.2">
      <c r="D1" s="32" t="s">
        <v>26</v>
      </c>
      <c r="E1" s="33"/>
      <c r="F1" s="33"/>
      <c r="G1" s="33"/>
      <c r="H1" s="33"/>
      <c r="I1" s="33"/>
      <c r="J1" s="33"/>
      <c r="K1" s="34"/>
    </row>
    <row r="2" spans="4:11" ht="39" customHeight="1" thickBot="1" x14ac:dyDescent="0.25">
      <c r="D2" s="35"/>
      <c r="E2" s="36"/>
      <c r="F2" s="36"/>
      <c r="G2" s="36"/>
      <c r="H2" s="36"/>
      <c r="I2" s="36"/>
      <c r="J2" s="36"/>
      <c r="K2" s="37"/>
    </row>
    <row r="3" spans="4:11" ht="18" thickBot="1" x14ac:dyDescent="0.25"/>
    <row r="4" spans="4:11" ht="18" thickBot="1" x14ac:dyDescent="0.25">
      <c r="D4" s="4" t="s">
        <v>27</v>
      </c>
      <c r="E4" s="23" t="s">
        <v>1052</v>
      </c>
      <c r="G4" s="38" t="s">
        <v>28</v>
      </c>
      <c r="H4" s="39"/>
      <c r="I4" s="5">
        <f>SUBTOTAL(9,PurchaseOrder[Subtotal])</f>
        <v>8.8279999999999994</v>
      </c>
    </row>
    <row r="6" spans="4:11" ht="30.75" customHeight="1" x14ac:dyDescent="0.2">
      <c r="D6" s="3" t="s">
        <v>29</v>
      </c>
      <c r="E6" s="3" t="s">
        <v>12</v>
      </c>
      <c r="F6" s="3" t="s">
        <v>30</v>
      </c>
      <c r="G6" s="3" t="s">
        <v>31</v>
      </c>
      <c r="H6" s="9" t="s">
        <v>17</v>
      </c>
      <c r="I6" s="3" t="s">
        <v>34</v>
      </c>
      <c r="J6" s="3" t="s">
        <v>32</v>
      </c>
      <c r="K6" s="3" t="s">
        <v>33</v>
      </c>
    </row>
    <row r="7" spans="4:11" ht="18" hidden="1" x14ac:dyDescent="0.2">
      <c r="D7" s="19" t="s">
        <v>37</v>
      </c>
      <c r="E7" s="2" t="s">
        <v>22</v>
      </c>
      <c r="F7" s="2">
        <v>0</v>
      </c>
      <c r="G7" s="2">
        <v>1.08</v>
      </c>
      <c r="H7" s="9" t="s">
        <v>15</v>
      </c>
      <c r="I7" s="3" t="s">
        <v>694</v>
      </c>
      <c r="J7" s="3" t="s">
        <v>14</v>
      </c>
      <c r="K7" s="2">
        <f>PurchaseOrder[[#This Row],[Unit $]]*PurchaseOrder[[#This Row],[Quantity]]</f>
        <v>0</v>
      </c>
    </row>
    <row r="8" spans="4:11" customFormat="1" ht="18" x14ac:dyDescent="0.2">
      <c r="D8" s="19" t="s">
        <v>1047</v>
      </c>
      <c r="E8" s="2"/>
      <c r="F8" s="2">
        <v>1</v>
      </c>
      <c r="G8" s="2">
        <v>1.5660000000000001</v>
      </c>
      <c r="H8" s="9" t="s">
        <v>15</v>
      </c>
      <c r="I8" s="3" t="s">
        <v>1048</v>
      </c>
      <c r="J8" s="3" t="s">
        <v>7</v>
      </c>
      <c r="K8" s="2">
        <f>PurchaseOrder[[#This Row],[Unit $]]*PurchaseOrder[[#This Row],[Quantity]]</f>
        <v>1.5660000000000001</v>
      </c>
    </row>
    <row r="9" spans="4:11" customFormat="1" ht="18" x14ac:dyDescent="0.2">
      <c r="D9" s="19" t="s">
        <v>1045</v>
      </c>
      <c r="E9" s="2"/>
      <c r="F9" s="2">
        <v>1</v>
      </c>
      <c r="G9" s="2">
        <v>2.9660000000000002</v>
      </c>
      <c r="H9" s="9" t="s">
        <v>15</v>
      </c>
      <c r="I9" s="3" t="s">
        <v>1046</v>
      </c>
      <c r="J9" s="3" t="s">
        <v>7</v>
      </c>
      <c r="K9" s="2">
        <f>PurchaseOrder[[#This Row],[Unit $]]*PurchaseOrder[[#This Row],[Quantity]]</f>
        <v>2.9660000000000002</v>
      </c>
    </row>
    <row r="10" spans="4:11" customFormat="1" ht="18" x14ac:dyDescent="0.2">
      <c r="D10" s="19" t="s">
        <v>1049</v>
      </c>
      <c r="E10" s="2" t="s">
        <v>21</v>
      </c>
      <c r="F10" s="2">
        <v>2</v>
      </c>
      <c r="G10" s="2">
        <v>2.1480000000000001</v>
      </c>
      <c r="H10" s="9" t="s">
        <v>15</v>
      </c>
      <c r="I10" s="3" t="s">
        <v>1051</v>
      </c>
      <c r="J10" s="3" t="s">
        <v>7</v>
      </c>
      <c r="K10" s="2">
        <f>PurchaseOrder[[#This Row],[Unit $]]*PurchaseOrder[[#This Row],[Quantity]]</f>
        <v>4.2960000000000003</v>
      </c>
    </row>
    <row r="11" spans="4:11" customFormat="1" ht="15" x14ac:dyDescent="0.2"/>
    <row r="12" spans="4:11" customFormat="1" ht="15" x14ac:dyDescent="0.2"/>
    <row r="13" spans="4:11" customFormat="1" ht="15" x14ac:dyDescent="0.2"/>
    <row r="14" spans="4:11" customFormat="1" ht="15" x14ac:dyDescent="0.2"/>
    <row r="15" spans="4:11" customFormat="1" ht="15" x14ac:dyDescent="0.2"/>
    <row r="16" spans="4:11" ht="30" customHeight="1" x14ac:dyDescent="0.2">
      <c r="D16"/>
      <c r="E16"/>
      <c r="F16"/>
      <c r="G16"/>
      <c r="H16"/>
      <c r="I16"/>
      <c r="J16"/>
      <c r="K16"/>
    </row>
    <row r="17" spans="4:11" x14ac:dyDescent="0.2">
      <c r="D17"/>
      <c r="E17"/>
      <c r="F17"/>
      <c r="G17"/>
      <c r="H17"/>
      <c r="I17"/>
      <c r="J17"/>
      <c r="K17"/>
    </row>
    <row r="18" spans="4:11" ht="29" x14ac:dyDescent="0.35">
      <c r="D18" s="22" t="s">
        <v>289</v>
      </c>
      <c r="E18"/>
      <c r="F18"/>
      <c r="G18"/>
      <c r="H18" s="9"/>
      <c r="I18" s="3"/>
      <c r="J18" s="3"/>
    </row>
    <row r="19" spans="4:11" x14ac:dyDescent="0.2">
      <c r="D19"/>
      <c r="E19"/>
      <c r="F19"/>
      <c r="G19"/>
      <c r="H19" s="9"/>
      <c r="I19" s="3"/>
      <c r="J19" s="3"/>
    </row>
    <row r="20" spans="4:11" x14ac:dyDescent="0.2">
      <c r="D20" s="21" t="s">
        <v>288</v>
      </c>
      <c r="E20" s="10"/>
    </row>
    <row r="21" spans="4:11" customFormat="1" x14ac:dyDescent="0.2">
      <c r="D21" s="20" t="s">
        <v>290</v>
      </c>
      <c r="E21" s="10"/>
      <c r="F21" s="2"/>
      <c r="G21" s="2"/>
      <c r="H21" s="8"/>
      <c r="I21" s="2"/>
      <c r="J21" s="2"/>
      <c r="K21" s="2"/>
    </row>
    <row r="22" spans="4:11" customFormat="1" x14ac:dyDescent="0.2">
      <c r="D22" s="21"/>
      <c r="E22" s="21"/>
      <c r="F22" s="2"/>
      <c r="G22" s="2"/>
      <c r="H22" s="8"/>
      <c r="I22" s="2"/>
      <c r="J22" s="2"/>
      <c r="K22" s="2"/>
    </row>
    <row r="23" spans="4:11" customFormat="1" ht="16.5" customHeight="1" x14ac:dyDescent="0.2">
      <c r="D23" s="2"/>
      <c r="E23" s="2"/>
      <c r="F23" s="2"/>
      <c r="G23" s="2"/>
      <c r="H23" s="8"/>
      <c r="I23" s="2"/>
      <c r="J23" s="2"/>
      <c r="K23" s="2"/>
    </row>
    <row r="24" spans="4:11" customFormat="1" x14ac:dyDescent="0.2">
      <c r="D24" s="2"/>
      <c r="E24" s="2"/>
      <c r="F24" s="2"/>
      <c r="G24" s="2"/>
      <c r="H24" s="8"/>
      <c r="I24" s="2"/>
      <c r="J24" s="2"/>
      <c r="K24" s="2"/>
    </row>
    <row r="25" spans="4:11" ht="16.5" customHeight="1" x14ac:dyDescent="0.2"/>
  </sheetData>
  <mergeCells count="2">
    <mergeCell ref="D1:K2"/>
    <mergeCell ref="G4:H4"/>
  </mergeCells>
  <phoneticPr fontId="18" type="noConversion"/>
  <conditionalFormatting sqref="D20:I61 H18:I19 D7:I10">
    <cfRule type="expression" dxfId="6" priority="3">
      <formula>OR($E7="Wooden screws", $E7="Machine screws", $E7="Hex bolts", $E7="Misc", $E7="Bearing balls", $E7="Nuts",  $E7="Rivets",  $E7="Washers")</formula>
    </cfRule>
    <cfRule type="expression" dxfId="5" priority="6">
      <formula>OR($E7="Sensor", $E7="MCU", $E7="Communication", $E7="Component", $E7="Motor", $E7="Power", $E7="Hardware", $E7="Connect")</formula>
    </cfRule>
  </conditionalFormatting>
  <conditionalFormatting sqref="F7:F10">
    <cfRule type="expression" dxfId="4" priority="2">
      <formula>$F7&lt;1</formula>
    </cfRule>
  </conditionalFormatting>
  <conditionalFormatting sqref="D20:D197">
    <cfRule type="expression" dxfId="3" priority="1">
      <formula>$H21="Out of Stock"</formula>
    </cfRule>
  </conditionalFormatting>
  <conditionalFormatting sqref="H18:K19 D7:K10">
    <cfRule type="expression" dxfId="2" priority="8">
      <formula>$H7="Out of Stock"</formula>
    </cfRule>
  </conditionalFormatting>
  <conditionalFormatting sqref="D7:D10">
    <cfRule type="expression" dxfId="1" priority="19">
      <formula>$H76="Out of Stock"</formula>
    </cfRule>
  </conditionalFormatting>
  <conditionalFormatting sqref="D7:D10">
    <cfRule type="expression" dxfId="0" priority="21">
      <formula>$H51="Out of Stock"</formula>
    </cfRule>
  </conditionalFormatting>
  <pageMargins left="0.7" right="0.7" top="0.75" bottom="0.75" header="0.3" footer="0.3"/>
  <pageSetup scale="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Sheet6.VBA_Delete_Multiple_Rows_from_Table">
                <anchor moveWithCells="1" sizeWithCells="1">
                  <from>
                    <xdr:col>3</xdr:col>
                    <xdr:colOff>241300</xdr:colOff>
                    <xdr:row>0</xdr:row>
                    <xdr:rowOff>190500</xdr:rowOff>
                  </from>
                  <to>
                    <xdr:col>3</xdr:col>
                    <xdr:colOff>1778000</xdr:colOff>
                    <xdr:row>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Button 4">
              <controlPr defaultSize="0" print="0" autoFill="0" autoPict="0" macro="[0]!Sheet6.SaveAsJPG">
                <anchor moveWithCells="1" sizeWithCells="1">
                  <from>
                    <xdr:col>8</xdr:col>
                    <xdr:colOff>889000</xdr:colOff>
                    <xdr:row>0</xdr:row>
                    <xdr:rowOff>203200</xdr:rowOff>
                  </from>
                  <to>
                    <xdr:col>10</xdr:col>
                    <xdr:colOff>736600</xdr:colOff>
                    <xdr:row>1</xdr:row>
                    <xdr:rowOff>292100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F3CB9-12A7-48BA-90E8-44589767D19B}">
  <sheetPr codeName="Sheet1"/>
  <dimension ref="A1"/>
  <sheetViews>
    <sheetView workbookViewId="0">
      <selection activeCell="E4" sqref="E4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16e0fd9-dfbf-44e6-a659-54b1814f7941">
      <Terms xmlns="http://schemas.microsoft.com/office/infopath/2007/PartnerControls"/>
    </lcf76f155ced4ddcb4097134ff3c332f>
    <TaxCatchAll xmlns="37632fa0-411f-4886-b19a-0e04ec7fbf4f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C313E4FC11F04C87516EFD2161F744" ma:contentTypeVersion="18" ma:contentTypeDescription="Create a new document." ma:contentTypeScope="" ma:versionID="b5d1b50c714404d1790c4455a4fe10e2">
  <xsd:schema xmlns:xsd="http://www.w3.org/2001/XMLSchema" xmlns:xs="http://www.w3.org/2001/XMLSchema" xmlns:p="http://schemas.microsoft.com/office/2006/metadata/properties" xmlns:ns2="416e0fd9-dfbf-44e6-a659-54b1814f7941" xmlns:ns3="37632fa0-411f-4886-b19a-0e04ec7fbf4f" targetNamespace="http://schemas.microsoft.com/office/2006/metadata/properties" ma:root="true" ma:fieldsID="65bf832f8c4ff84defdfaf5116d59d95" ns2:_="" ns3:_="">
    <xsd:import namespace="416e0fd9-dfbf-44e6-a659-54b1814f7941"/>
    <xsd:import namespace="37632fa0-411f-4886-b19a-0e04ec7fbf4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6e0fd9-dfbf-44e6-a659-54b1814f794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fe164b29-4069-4387-b6aa-f01f2a1f474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632fa0-411f-4886-b19a-0e04ec7fbf4f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f2543d6f-c30f-4b8b-8f56-c071d5db1c93}" ma:internalName="TaxCatchAll" ma:showField="CatchAllData" ma:web="37632fa0-411f-4886-b19a-0e04ec7fbf4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Filenam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F721F70-8DB4-4567-B581-0F9C0A1B07A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B77122EE-AB7B-489D-99E7-061280585D8D}">
  <ds:schemaRefs>
    <ds:schemaRef ds:uri="http://schemas.openxmlformats.org/package/2006/metadata/core-properties"/>
    <ds:schemaRef ds:uri="http://purl.org/dc/dcmitype/"/>
    <ds:schemaRef ds:uri="416e0fd9-dfbf-44e6-a659-54b1814f7941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elements/1.1/"/>
    <ds:schemaRef ds:uri="37632fa0-411f-4886-b19a-0e04ec7fbf4f"/>
    <ds:schemaRef ds:uri="http://schemas.microsoft.com/office/infopath/2007/PartnerControl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507CCBCB-D7A2-4A71-868B-593EDEBCBF5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42F99D7-2FFF-4541-BBB6-01634580D2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6e0fd9-dfbf-44e6-a659-54b1814f7941"/>
    <ds:schemaRef ds:uri="37632fa0-411f-4886-b19a-0e04ec7fbf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Hardware</vt:lpstr>
      <vt:lpstr>Materials</vt:lpstr>
      <vt:lpstr>Mechatronics</vt:lpstr>
      <vt:lpstr>Oldtronics-FINALSALE only</vt:lpstr>
      <vt:lpstr>PurchaseOrder</vt:lpstr>
      <vt:lpstr>Dev</vt:lpstr>
      <vt:lpstr>PurchaseOrder!Print_Area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FF_Design</dc:creator>
  <cp:keywords/>
  <dc:description/>
  <cp:lastModifiedBy>Eric Huang</cp:lastModifiedBy>
  <cp:revision/>
  <cp:lastPrinted>2022-03-29T17:50:45Z</cp:lastPrinted>
  <dcterms:created xsi:type="dcterms:W3CDTF">2021-03-10T00:23:29Z</dcterms:created>
  <dcterms:modified xsi:type="dcterms:W3CDTF">2026-03-06T17:05:34Z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0x01010012C313E4FC11F04C87516EFD2161F744</vt:lpwstr>
  </property>
  <property fmtid="{D5CDD505-2E9C-101B-9397-08002B2CF9AE}" pid="3" name="MediaServiceImageTags">
    <vt:lpwstr/>
  </property>
</Properties>
</file>